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nit\Downloads\"/>
    </mc:Choice>
  </mc:AlternateContent>
  <xr:revisionPtr revIDLastSave="0" documentId="8_{4BEF7238-3208-4B8D-9CAF-A931DBC2E6F6}" xr6:coauthVersionLast="47" xr6:coauthVersionMax="47" xr10:uidLastSave="{00000000-0000-0000-0000-000000000000}"/>
  <bookViews>
    <workbookView xWindow="-96" yWindow="-96" windowWidth="23232" windowHeight="12432" xr2:uid="{5F533A18-8A73-4EB6-A104-2DC96C47D7AB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3" i="1" l="1"/>
  <c r="AA14" i="1"/>
  <c r="AA16" i="1"/>
  <c r="AA18" i="1"/>
  <c r="AA21" i="1"/>
  <c r="AA22" i="1"/>
  <c r="AA11" i="1"/>
  <c r="AA23" i="1"/>
  <c r="AA20" i="1"/>
  <c r="AA17" i="1"/>
  <c r="AA12" i="1"/>
  <c r="AA10" i="1"/>
  <c r="AA9" i="1"/>
  <c r="AA8" i="1"/>
  <c r="AA7" i="1"/>
  <c r="S33" i="1"/>
  <c r="S31" i="1"/>
  <c r="S30" i="1"/>
  <c r="S28" i="1"/>
  <c r="S29" i="1"/>
  <c r="S26" i="1"/>
  <c r="S25" i="1"/>
  <c r="S24" i="1"/>
  <c r="S21" i="1"/>
  <c r="R20" i="1"/>
  <c r="R19" i="1"/>
  <c r="R15" i="1"/>
  <c r="R10" i="1"/>
  <c r="R18" i="1"/>
  <c r="R17" i="1"/>
  <c r="R14" i="1"/>
  <c r="R13" i="1"/>
  <c r="R9" i="1"/>
  <c r="R12" i="1"/>
  <c r="R8" i="1"/>
  <c r="F29" i="1"/>
  <c r="E29" i="1"/>
  <c r="F22" i="1"/>
  <c r="F25" i="1" s="1"/>
  <c r="F30" i="1" s="1"/>
  <c r="E22" i="1"/>
  <c r="E25" i="1" s="1"/>
  <c r="E30" i="1" s="1"/>
  <c r="L15" i="1"/>
  <c r="L13" i="1"/>
  <c r="L11" i="1"/>
  <c r="F11" i="1"/>
  <c r="F17" i="1" s="1"/>
  <c r="E11" i="1"/>
  <c r="E17" i="1" s="1"/>
  <c r="L10" i="1"/>
  <c r="L8" i="1"/>
  <c r="L7" i="1"/>
  <c r="L9" i="1" s="1"/>
  <c r="L12" i="1" s="1"/>
  <c r="L14" i="1" s="1"/>
  <c r="L16" i="1" s="1"/>
  <c r="S6" i="1"/>
  <c r="AA6" i="1" s="1"/>
  <c r="L6" i="1"/>
  <c r="E6" i="1"/>
  <c r="F6" i="1" s="1"/>
  <c r="AA25" i="1" l="1"/>
</calcChain>
</file>

<file path=xl/sharedStrings.xml><?xml version="1.0" encoding="utf-8"?>
<sst xmlns="http://schemas.openxmlformats.org/spreadsheetml/2006/main" count="71" uniqueCount="56">
  <si>
    <t>Student's Edition</t>
  </si>
  <si>
    <t>Simple Balance Sheet</t>
  </si>
  <si>
    <t>Simple Income Statement</t>
  </si>
  <si>
    <r>
      <rPr>
        <b/>
        <sz val="20"/>
        <color theme="0"/>
        <rFont val="Times New Roman"/>
        <family val="1"/>
      </rPr>
      <t>Direct</t>
    </r>
    <r>
      <rPr>
        <b/>
        <sz val="14"/>
        <color theme="0"/>
        <rFont val="Times New Roman"/>
        <family val="1"/>
      </rPr>
      <t xml:space="preserve"> Cash Flow Statement</t>
    </r>
  </si>
  <si>
    <r>
      <rPr>
        <b/>
        <sz val="20"/>
        <color theme="0"/>
        <rFont val="Times New Roman"/>
        <family val="1"/>
      </rPr>
      <t>Indirect</t>
    </r>
    <r>
      <rPr>
        <b/>
        <sz val="14"/>
        <color theme="0"/>
        <rFont val="Times New Roman"/>
        <family val="1"/>
      </rPr>
      <t xml:space="preserve"> Cash Flow Statement</t>
    </r>
  </si>
  <si>
    <t>Cash</t>
  </si>
  <si>
    <t>Sales</t>
  </si>
  <si>
    <t>Cash Flow From Sales</t>
  </si>
  <si>
    <t>Net Income</t>
  </si>
  <si>
    <t>A/R</t>
  </si>
  <si>
    <t>COGS</t>
  </si>
  <si>
    <t>Revenue</t>
  </si>
  <si>
    <t>Depreciation</t>
  </si>
  <si>
    <t>Inventory</t>
  </si>
  <si>
    <t>Gross Profit</t>
  </si>
  <si>
    <t>Δ in A/R</t>
  </si>
  <si>
    <t>Supplies</t>
  </si>
  <si>
    <t>Δ in Inv.</t>
  </si>
  <si>
    <t>Total Current Assets</t>
  </si>
  <si>
    <t>Oper. Expenses</t>
  </si>
  <si>
    <t>Cash Paid For COGS</t>
  </si>
  <si>
    <t>Δ in Oth.Curr. Assts.</t>
  </si>
  <si>
    <t>EBIT</t>
  </si>
  <si>
    <t>Δ in A/P</t>
  </si>
  <si>
    <t>Property &amp; Equip.</t>
  </si>
  <si>
    <t>Interest Expense</t>
  </si>
  <si>
    <t>Δ in Oth.Curr. Liab.</t>
  </si>
  <si>
    <t>Accum. Deprec.</t>
  </si>
  <si>
    <t>EBT</t>
  </si>
  <si>
    <t>CFFO</t>
  </si>
  <si>
    <t>Land</t>
  </si>
  <si>
    <t>Tax</t>
  </si>
  <si>
    <t>Goodwill</t>
  </si>
  <si>
    <t>Cash Paid For Expenses</t>
  </si>
  <si>
    <t>Sale of Land</t>
  </si>
  <si>
    <t>Total Assets</t>
  </si>
  <si>
    <t>Oper. Exp.</t>
  </si>
  <si>
    <t>Purchase of PP&amp;E</t>
  </si>
  <si>
    <t>Interest Exp.</t>
  </si>
  <si>
    <t>CFFIA</t>
  </si>
  <si>
    <t>Accounts Payable</t>
  </si>
  <si>
    <t>Tax Expense</t>
  </si>
  <si>
    <t>Income Tax Payable</t>
  </si>
  <si>
    <t>L/T Notes Paydown</t>
  </si>
  <si>
    <t>Interest Payable</t>
  </si>
  <si>
    <t>Stock Issuance</t>
  </si>
  <si>
    <t>Total Current Liab.</t>
  </si>
  <si>
    <t>Dividends</t>
  </si>
  <si>
    <t>CFFFA</t>
  </si>
  <si>
    <t>L/T Debt</t>
  </si>
  <si>
    <t>Total Liabilities</t>
  </si>
  <si>
    <t>Net Change in Cash</t>
  </si>
  <si>
    <t>Stock and APIC</t>
  </si>
  <si>
    <t>Retained Earnings</t>
  </si>
  <si>
    <t>Stockholder's Equity</t>
  </si>
  <si>
    <t>Total Liab. and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</si>
</sst>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3"/>
      <color theme="0"/>
      <name val="Times New Roman"/>
      <family val="1"/>
    </font>
    <font>
      <sz val="14"/>
      <color theme="1"/>
      <name val="Times New Roman"/>
      <family val="1"/>
    </font>
    <font>
      <b/>
      <sz val="14"/>
      <color theme="0"/>
      <name val="Times New Roman"/>
      <family val="1"/>
    </font>
    <font>
      <b/>
      <sz val="20"/>
      <color theme="0"/>
      <name val="Times New Roman"/>
      <family val="1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2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00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9">
    <xf numFmtId="0" fontId="0" fillId="0" borderId="0" xfId="0"/>
    <xf numFmtId="0" fontId="2" fillId="0" borderId="0" xfId="0" applyFont="1"/>
    <xf numFmtId="3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/>
    <xf numFmtId="0" fontId="2" fillId="0" borderId="2" xfId="0" applyFont="1" applyBorder="1"/>
    <xf numFmtId="37" fontId="2" fillId="0" borderId="2" xfId="0" applyNumberFormat="1" applyFont="1" applyBorder="1" applyAlignment="1">
      <alignment horizontal="center" vertical="center"/>
    </xf>
    <xf numFmtId="0" fontId="2" fillId="0" borderId="3" xfId="0" applyFont="1" applyBorder="1"/>
    <xf numFmtId="0" fontId="2" fillId="0" borderId="2" xfId="0" applyFont="1" applyBorder="1" applyAlignment="1">
      <alignment horizontal="center" vertical="center"/>
    </xf>
    <xf numFmtId="0" fontId="2" fillId="0" borderId="4" xfId="0" applyFont="1" applyBorder="1"/>
    <xf numFmtId="0" fontId="5" fillId="0" borderId="5" xfId="0" applyFont="1" applyBorder="1"/>
    <xf numFmtId="0" fontId="5" fillId="0" borderId="0" xfId="0" applyFont="1"/>
    <xf numFmtId="0" fontId="5" fillId="0" borderId="4" xfId="0" applyFont="1" applyBorder="1"/>
    <xf numFmtId="0" fontId="2" fillId="0" borderId="5" xfId="0" applyFont="1" applyBorder="1"/>
    <xf numFmtId="0" fontId="8" fillId="0" borderId="0" xfId="0" applyFont="1" applyAlignment="1">
      <alignment horizontal="center" vertical="center"/>
    </xf>
    <xf numFmtId="0" fontId="9" fillId="0" borderId="5" xfId="0" applyFont="1" applyBorder="1"/>
    <xf numFmtId="0" fontId="9" fillId="0" borderId="0" xfId="0" applyFont="1"/>
    <xf numFmtId="0" fontId="9" fillId="0" borderId="4" xfId="0" applyFont="1" applyBorder="1"/>
    <xf numFmtId="0" fontId="8" fillId="0" borderId="5" xfId="0" applyFont="1" applyBorder="1" applyAlignment="1">
      <alignment horizontal="center"/>
    </xf>
    <xf numFmtId="0" fontId="8" fillId="0" borderId="0" xfId="0" applyFont="1" applyAlignment="1">
      <alignment horizontal="center"/>
    </xf>
    <xf numFmtId="37" fontId="2" fillId="0" borderId="0" xfId="1" applyNumberFormat="1" applyFont="1" applyBorder="1" applyAlignment="1">
      <alignment horizontal="center" vertical="center"/>
    </xf>
    <xf numFmtId="37" fontId="2" fillId="0" borderId="0" xfId="1" applyNumberFormat="1" applyFont="1" applyFill="1" applyBorder="1" applyAlignment="1">
      <alignment horizontal="center" vertical="center"/>
    </xf>
    <xf numFmtId="37" fontId="2" fillId="0" borderId="5" xfId="0" applyNumberFormat="1" applyFont="1" applyBorder="1"/>
    <xf numFmtId="37" fontId="2" fillId="0" borderId="0" xfId="0" applyNumberFormat="1" applyFont="1"/>
    <xf numFmtId="37" fontId="2" fillId="0" borderId="4" xfId="0" applyNumberFormat="1" applyFont="1" applyBorder="1"/>
    <xf numFmtId="0" fontId="8" fillId="0" borderId="4" xfId="0" applyFont="1" applyBorder="1" applyAlignment="1">
      <alignment horizontal="center"/>
    </xf>
    <xf numFmtId="0" fontId="10" fillId="3" borderId="6" xfId="0" applyFont="1" applyFill="1" applyBorder="1"/>
    <xf numFmtId="0" fontId="2" fillId="3" borderId="7" xfId="0" applyFont="1" applyFill="1" applyBorder="1"/>
    <xf numFmtId="37" fontId="2" fillId="3" borderId="8" xfId="0" applyNumberFormat="1" applyFont="1" applyFill="1" applyBorder="1" applyAlignment="1">
      <alignment horizontal="center" vertical="center"/>
    </xf>
    <xf numFmtId="0" fontId="2" fillId="3" borderId="6" xfId="0" applyFont="1" applyFill="1" applyBorder="1"/>
    <xf numFmtId="37" fontId="2" fillId="3" borderId="7" xfId="0" applyNumberFormat="1" applyFont="1" applyFill="1" applyBorder="1" applyAlignment="1">
      <alignment horizontal="center" vertical="center"/>
    </xf>
    <xf numFmtId="37" fontId="2" fillId="3" borderId="8" xfId="0" applyNumberFormat="1" applyFont="1" applyFill="1" applyBorder="1"/>
    <xf numFmtId="37" fontId="2" fillId="0" borderId="9" xfId="0" applyNumberFormat="1" applyFont="1" applyBorder="1" applyAlignment="1">
      <alignment horizontal="center" vertical="center"/>
    </xf>
    <xf numFmtId="37" fontId="2" fillId="3" borderId="10" xfId="0" applyNumberFormat="1" applyFont="1" applyFill="1" applyBorder="1"/>
    <xf numFmtId="37" fontId="2" fillId="3" borderId="0" xfId="0" applyNumberFormat="1" applyFont="1" applyFill="1"/>
    <xf numFmtId="37" fontId="2" fillId="3" borderId="11" xfId="0" applyNumberFormat="1" applyFont="1" applyFill="1" applyBorder="1" applyAlignment="1">
      <alignment horizontal="center" vertical="center"/>
    </xf>
    <xf numFmtId="37" fontId="2" fillId="3" borderId="0" xfId="0" applyNumberFormat="1" applyFont="1" applyFill="1" applyAlignment="1">
      <alignment horizontal="center" vertical="center"/>
    </xf>
    <xf numFmtId="37" fontId="2" fillId="3" borderId="11" xfId="0" applyNumberFormat="1" applyFont="1" applyFill="1" applyBorder="1"/>
    <xf numFmtId="37" fontId="2" fillId="3" borderId="9" xfId="0" applyNumberFormat="1" applyFont="1" applyFill="1" applyBorder="1"/>
    <xf numFmtId="0" fontId="2" fillId="3" borderId="11" xfId="0" applyFont="1" applyFill="1" applyBorder="1" applyAlignment="1">
      <alignment horizontal="center" vertical="center"/>
    </xf>
    <xf numFmtId="37" fontId="2" fillId="0" borderId="9" xfId="1" applyNumberFormat="1" applyFont="1" applyBorder="1" applyAlignment="1">
      <alignment horizontal="center" vertical="center"/>
    </xf>
    <xf numFmtId="0" fontId="2" fillId="3" borderId="10" xfId="0" applyFont="1" applyFill="1" applyBorder="1"/>
    <xf numFmtId="0" fontId="2" fillId="3" borderId="0" xfId="0" applyFont="1" applyFill="1"/>
    <xf numFmtId="37" fontId="10" fillId="3" borderId="11" xfId="0" applyNumberFormat="1" applyFont="1" applyFill="1" applyBorder="1" applyAlignment="1">
      <alignment horizontal="center" vertical="center"/>
    </xf>
    <xf numFmtId="0" fontId="10" fillId="0" borderId="0" xfId="0" applyFont="1"/>
    <xf numFmtId="37" fontId="10" fillId="3" borderId="10" xfId="0" applyNumberFormat="1" applyFont="1" applyFill="1" applyBorder="1"/>
    <xf numFmtId="0" fontId="2" fillId="3" borderId="12" xfId="0" applyFont="1" applyFill="1" applyBorder="1"/>
    <xf numFmtId="37" fontId="11" fillId="3" borderId="9" xfId="0" applyNumberFormat="1" applyFont="1" applyFill="1" applyBorder="1"/>
    <xf numFmtId="0" fontId="2" fillId="3" borderId="9" xfId="0" applyFont="1" applyFill="1" applyBorder="1"/>
    <xf numFmtId="0" fontId="2" fillId="3" borderId="9" xfId="0" applyFont="1" applyFill="1" applyBorder="1" applyAlignment="1">
      <alignment horizontal="center" vertical="center"/>
    </xf>
    <xf numFmtId="37" fontId="10" fillId="4" borderId="13" xfId="0" applyNumberFormat="1" applyFont="1" applyFill="1" applyBorder="1"/>
    <xf numFmtId="0" fontId="10" fillId="3" borderId="10" xfId="0" applyFont="1" applyFill="1" applyBorder="1"/>
    <xf numFmtId="37" fontId="2" fillId="0" borderId="6" xfId="0" applyNumberFormat="1" applyFont="1" applyBorder="1"/>
    <xf numFmtId="37" fontId="2" fillId="0" borderId="7" xfId="0" applyNumberFormat="1" applyFont="1" applyBorder="1" applyAlignment="1">
      <alignment horizontal="left"/>
    </xf>
    <xf numFmtId="37" fontId="2" fillId="0" borderId="7" xfId="0" applyNumberFormat="1" applyFont="1" applyBorder="1"/>
    <xf numFmtId="37" fontId="2" fillId="0" borderId="7" xfId="0" applyNumberFormat="1" applyFont="1" applyBorder="1" applyAlignment="1">
      <alignment horizontal="center" vertical="center"/>
    </xf>
    <xf numFmtId="37" fontId="2" fillId="0" borderId="8" xfId="0" applyNumberFormat="1" applyFont="1" applyBorder="1"/>
    <xf numFmtId="37" fontId="2" fillId="0" borderId="14" xfId="0" applyNumberFormat="1" applyFont="1" applyBorder="1"/>
    <xf numFmtId="0" fontId="2" fillId="0" borderId="10" xfId="0" applyFont="1" applyBorder="1"/>
    <xf numFmtId="37" fontId="2" fillId="0" borderId="11" xfId="0" applyNumberFormat="1" applyFont="1" applyBorder="1"/>
    <xf numFmtId="37" fontId="2" fillId="0" borderId="12" xfId="0" applyNumberFormat="1" applyFont="1" applyBorder="1"/>
    <xf numFmtId="37" fontId="11" fillId="0" borderId="9" xfId="0" applyNumberFormat="1" applyFont="1" applyBorder="1"/>
    <xf numFmtId="37" fontId="2" fillId="0" borderId="9" xfId="0" applyNumberFormat="1" applyFont="1" applyBorder="1"/>
    <xf numFmtId="0" fontId="2" fillId="0" borderId="9" xfId="0" applyFont="1" applyBorder="1" applyAlignment="1">
      <alignment horizontal="center" vertical="center"/>
    </xf>
    <xf numFmtId="37" fontId="10" fillId="5" borderId="13" xfId="0" applyNumberFormat="1" applyFont="1" applyFill="1" applyBorder="1"/>
    <xf numFmtId="37" fontId="2" fillId="3" borderId="6" xfId="0" applyNumberFormat="1" applyFont="1" applyFill="1" applyBorder="1"/>
    <xf numFmtId="37" fontId="10" fillId="4" borderId="1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5" xfId="0" applyFont="1" applyBorder="1"/>
    <xf numFmtId="37" fontId="2" fillId="0" borderId="16" xfId="0" applyNumberFormat="1" applyFont="1" applyBorder="1"/>
    <xf numFmtId="0" fontId="2" fillId="0" borderId="16" xfId="0" applyFont="1" applyBorder="1"/>
    <xf numFmtId="37" fontId="2" fillId="0" borderId="16" xfId="0" applyNumberFormat="1" applyFont="1" applyBorder="1" applyAlignment="1">
      <alignment horizontal="center" vertical="center"/>
    </xf>
    <xf numFmtId="0" fontId="2" fillId="0" borderId="17" xfId="0" applyFont="1" applyBorder="1"/>
    <xf numFmtId="37" fontId="2" fillId="3" borderId="12" xfId="0" applyNumberFormat="1" applyFont="1" applyFill="1" applyBorder="1"/>
    <xf numFmtId="37" fontId="2" fillId="3" borderId="9" xfId="0" applyNumberFormat="1" applyFont="1" applyFill="1" applyBorder="1" applyAlignment="1">
      <alignment horizontal="center" vertical="center"/>
    </xf>
    <xf numFmtId="37" fontId="10" fillId="6" borderId="13" xfId="0" applyNumberFormat="1" applyFont="1" applyFill="1" applyBorder="1"/>
    <xf numFmtId="0" fontId="2" fillId="0" borderId="6" xfId="0" applyFont="1" applyBorder="1"/>
    <xf numFmtId="0" fontId="2" fillId="0" borderId="7" xfId="0" applyFont="1" applyBorder="1"/>
    <xf numFmtId="37" fontId="2" fillId="0" borderId="8" xfId="0" applyNumberFormat="1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37" fontId="2" fillId="0" borderId="10" xfId="0" applyNumberFormat="1" applyFont="1" applyBorder="1" applyAlignment="1">
      <alignment horizontal="left"/>
    </xf>
    <xf numFmtId="37" fontId="2" fillId="0" borderId="11" xfId="0" applyNumberFormat="1" applyFont="1" applyBorder="1" applyAlignment="1">
      <alignment horizontal="center" vertical="center"/>
    </xf>
    <xf numFmtId="37" fontId="12" fillId="0" borderId="0" xfId="0" applyNumberFormat="1" applyFont="1"/>
    <xf numFmtId="37" fontId="12" fillId="0" borderId="0" xfId="0" applyNumberFormat="1" applyFont="1" applyAlignment="1">
      <alignment horizontal="center" vertical="center"/>
    </xf>
    <xf numFmtId="37" fontId="13" fillId="2" borderId="0" xfId="0" applyNumberFormat="1" applyFont="1" applyFill="1"/>
    <xf numFmtId="37" fontId="11" fillId="0" borderId="12" xfId="0" applyNumberFormat="1" applyFont="1" applyBorder="1"/>
    <xf numFmtId="0" fontId="14" fillId="0" borderId="9" xfId="0" applyFont="1" applyBorder="1"/>
    <xf numFmtId="37" fontId="10" fillId="5" borderId="13" xfId="0" applyNumberFormat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37" fontId="2" fillId="0" borderId="14" xfId="0" applyNumberFormat="1" applyFont="1" applyBorder="1" applyAlignment="1">
      <alignment horizontal="center" vertical="center"/>
    </xf>
    <xf numFmtId="37" fontId="11" fillId="3" borderId="12" xfId="0" applyNumberFormat="1" applyFont="1" applyFill="1" applyBorder="1"/>
    <xf numFmtId="37" fontId="10" fillId="6" borderId="13" xfId="0" applyNumberFormat="1" applyFont="1" applyFill="1" applyBorder="1" applyAlignment="1">
      <alignment horizontal="center" vertical="center"/>
    </xf>
    <xf numFmtId="37" fontId="13" fillId="2" borderId="0" xfId="0" applyNumberFormat="1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4c011028d22b1e0/Documents/Courses/Fin.Stmt.Analysis/Handouts/Exercises/FSA.Examples%20and%20Schedules.2021.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 Stmt. Connectivity"/>
      <sheetName val="Sudoku #1"/>
      <sheetName val="Sudoku #2"/>
      <sheetName val="Sudoku #3"/>
      <sheetName val="Cash Flow #1"/>
      <sheetName val="Cash Flow #2"/>
      <sheetName val="Cash Flow #3"/>
      <sheetName val="Cash Flow #4"/>
      <sheetName val="Cash Flow #5"/>
      <sheetName val="Cash Flow #6"/>
      <sheetName val="FIFO LIFO Handout"/>
      <sheetName val="FIFO LIFO #1"/>
      <sheetName val="FIFO LIFO #2"/>
      <sheetName val="FIFO LIFO #3"/>
      <sheetName val="Operating Leases"/>
      <sheetName val="slide count"/>
    </sheetNames>
    <sheetDataSet>
      <sheetData sheetId="0"/>
      <sheetData sheetId="1"/>
      <sheetData sheetId="2"/>
      <sheetData sheetId="3"/>
      <sheetData sheetId="4"/>
      <sheetData sheetId="5"/>
      <sheetData sheetId="6">
        <row r="6">
          <cell r="E6">
            <v>2020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D05A1-AFB4-48B7-971A-A56BA507241F}">
  <dimension ref="A1:AB35"/>
  <sheetViews>
    <sheetView tabSelected="1" zoomScale="80" zoomScaleNormal="80" workbookViewId="0">
      <selection activeCell="Z23" sqref="Z23"/>
    </sheetView>
  </sheetViews>
  <sheetFormatPr defaultRowHeight="14.4" x14ac:dyDescent="0.3"/>
  <cols>
    <col min="1" max="1" width="2.6640625" customWidth="1"/>
    <col min="2" max="2" width="2.44140625" customWidth="1"/>
    <col min="4" max="4" width="10" customWidth="1"/>
    <col min="5" max="6" width="10" bestFit="1" customWidth="1"/>
    <col min="7" max="7" width="2.33203125" customWidth="1"/>
    <col min="8" max="8" width="4.44140625" customWidth="1"/>
    <col min="9" max="9" width="2.44140625" customWidth="1"/>
    <col min="11" max="11" width="9.77734375" customWidth="1"/>
    <col min="12" max="12" width="8.88671875" bestFit="1" customWidth="1"/>
    <col min="13" max="13" width="2.21875" customWidth="1"/>
    <col min="14" max="15" width="2.5546875" customWidth="1"/>
    <col min="16" max="16" width="3" customWidth="1"/>
    <col min="17" max="17" width="14.44140625" customWidth="1"/>
    <col min="18" max="18" width="10" customWidth="1"/>
    <col min="19" max="19" width="11.21875" customWidth="1"/>
    <col min="20" max="20" width="5.77734375" customWidth="1"/>
    <col min="22" max="22" width="2.6640625" customWidth="1"/>
    <col min="23" max="23" width="2.44140625" customWidth="1"/>
    <col min="26" max="27" width="8.88671875" bestFit="1" customWidth="1"/>
    <col min="28" max="28" width="2.33203125" customWidth="1"/>
  </cols>
  <sheetData>
    <row r="1" spans="1:28" x14ac:dyDescent="0.3">
      <c r="A1" s="1"/>
      <c r="B1" s="1"/>
      <c r="C1" s="1"/>
      <c r="D1" s="1"/>
      <c r="E1" s="2"/>
      <c r="F1" s="2"/>
      <c r="G1" s="1"/>
      <c r="H1" s="1"/>
      <c r="I1" s="1"/>
      <c r="J1" s="1"/>
      <c r="K1" s="1"/>
      <c r="L1" s="3"/>
      <c r="M1" s="1"/>
      <c r="N1" s="1"/>
      <c r="O1" s="1"/>
      <c r="P1" s="1"/>
      <c r="Q1" s="1"/>
      <c r="R1" s="1"/>
      <c r="S1" s="3"/>
      <c r="T1" s="1"/>
      <c r="U1" s="1"/>
      <c r="V1" s="1"/>
      <c r="W1" s="1"/>
      <c r="X1" s="1"/>
      <c r="Y1" s="1"/>
      <c r="Z1" s="3"/>
      <c r="AA1" s="1"/>
      <c r="AB1" s="1"/>
    </row>
    <row r="2" spans="1:28" x14ac:dyDescent="0.3">
      <c r="A2" s="1"/>
      <c r="B2" s="94" t="s">
        <v>0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</row>
    <row r="3" spans="1:28" ht="15" thickBot="1" x14ac:dyDescent="0.35">
      <c r="A3" s="1"/>
      <c r="B3" s="1"/>
      <c r="C3" s="1"/>
      <c r="D3" s="1"/>
      <c r="E3" s="2"/>
      <c r="F3" s="2"/>
      <c r="G3" s="1"/>
      <c r="H3" s="1"/>
      <c r="I3" s="1"/>
      <c r="J3" s="1"/>
      <c r="K3" s="1"/>
      <c r="L3" s="3"/>
      <c r="M3" s="1"/>
      <c r="N3" s="1"/>
      <c r="O3" s="1"/>
      <c r="P3" s="1"/>
      <c r="Q3" s="1"/>
      <c r="R3" s="1"/>
      <c r="S3" s="3"/>
      <c r="T3" s="1"/>
      <c r="U3" s="1"/>
      <c r="V3" s="1"/>
      <c r="W3" s="1"/>
      <c r="X3" s="1"/>
      <c r="Y3" s="1"/>
      <c r="Z3" s="3"/>
      <c r="AA3" s="1"/>
      <c r="AB3" s="1"/>
    </row>
    <row r="4" spans="1:28" x14ac:dyDescent="0.3">
      <c r="A4" s="1"/>
      <c r="B4" s="4"/>
      <c r="C4" s="5"/>
      <c r="D4" s="5"/>
      <c r="E4" s="6"/>
      <c r="F4" s="6"/>
      <c r="G4" s="7"/>
      <c r="H4" s="1"/>
      <c r="I4" s="4"/>
      <c r="J4" s="5"/>
      <c r="K4" s="5"/>
      <c r="L4" s="8"/>
      <c r="M4" s="7"/>
      <c r="N4" s="1"/>
      <c r="O4" s="4"/>
      <c r="P4" s="5"/>
      <c r="Q4" s="5"/>
      <c r="R4" s="5"/>
      <c r="S4" s="8"/>
      <c r="T4" s="7"/>
      <c r="U4" s="1"/>
      <c r="V4" s="4"/>
      <c r="W4" s="5"/>
      <c r="X4" s="5"/>
      <c r="Y4" s="5"/>
      <c r="Z4" s="8"/>
      <c r="AA4" s="5"/>
      <c r="AB4" s="7"/>
    </row>
    <row r="5" spans="1:28" ht="24.6" x14ac:dyDescent="0.4">
      <c r="A5" s="1"/>
      <c r="B5" s="9"/>
      <c r="C5" s="95" t="s">
        <v>1</v>
      </c>
      <c r="D5" s="95"/>
      <c r="E5" s="95"/>
      <c r="F5" s="95"/>
      <c r="G5" s="10"/>
      <c r="H5" s="11"/>
      <c r="I5" s="12"/>
      <c r="J5" s="95" t="s">
        <v>2</v>
      </c>
      <c r="K5" s="95"/>
      <c r="L5" s="95"/>
      <c r="M5" s="13"/>
      <c r="N5" s="1"/>
      <c r="O5" s="96" t="s">
        <v>3</v>
      </c>
      <c r="P5" s="97"/>
      <c r="Q5" s="97"/>
      <c r="R5" s="97"/>
      <c r="S5" s="97"/>
      <c r="T5" s="98"/>
      <c r="U5" s="1"/>
      <c r="V5" s="96" t="s">
        <v>4</v>
      </c>
      <c r="W5" s="97"/>
      <c r="X5" s="97"/>
      <c r="Y5" s="97"/>
      <c r="Z5" s="97"/>
      <c r="AA5" s="97"/>
      <c r="AB5" s="98"/>
    </row>
    <row r="6" spans="1:28" x14ac:dyDescent="0.3">
      <c r="A6" s="1"/>
      <c r="B6" s="9"/>
      <c r="C6" s="1"/>
      <c r="D6" s="1"/>
      <c r="E6" s="14">
        <f>+'[1]Cash Flow #3'!E6</f>
        <v>2020</v>
      </c>
      <c r="F6" s="14">
        <f>+E6-1</f>
        <v>2019</v>
      </c>
      <c r="G6" s="15"/>
      <c r="H6" s="16"/>
      <c r="I6" s="17"/>
      <c r="J6" s="16"/>
      <c r="K6" s="16"/>
      <c r="L6" s="14">
        <f>+E6</f>
        <v>2020</v>
      </c>
      <c r="M6" s="18"/>
      <c r="N6" s="19"/>
      <c r="O6" s="9"/>
      <c r="P6" s="19"/>
      <c r="Q6" s="19"/>
      <c r="R6" s="19"/>
      <c r="S6" s="14">
        <f>+L6</f>
        <v>2020</v>
      </c>
      <c r="T6" s="13"/>
      <c r="U6" s="1"/>
      <c r="V6" s="9"/>
      <c r="W6" s="19"/>
      <c r="X6" s="19"/>
      <c r="Y6" s="19"/>
      <c r="Z6" s="14"/>
      <c r="AA6" s="19">
        <f>+S6</f>
        <v>2020</v>
      </c>
      <c r="AB6" s="13"/>
    </row>
    <row r="7" spans="1:28" x14ac:dyDescent="0.3">
      <c r="A7" s="1"/>
      <c r="B7" s="9"/>
      <c r="C7" s="1" t="s">
        <v>5</v>
      </c>
      <c r="D7" s="1"/>
      <c r="E7" s="20">
        <v>3600</v>
      </c>
      <c r="F7" s="21">
        <v>600</v>
      </c>
      <c r="G7" s="22"/>
      <c r="H7" s="23"/>
      <c r="I7" s="24"/>
      <c r="J7" s="23" t="s">
        <v>6</v>
      </c>
      <c r="K7" s="23"/>
      <c r="L7" s="20">
        <f>9000*6</f>
        <v>54000</v>
      </c>
      <c r="M7" s="22"/>
      <c r="N7" s="23"/>
      <c r="O7" s="25"/>
      <c r="P7" s="26" t="s">
        <v>7</v>
      </c>
      <c r="Q7" s="27"/>
      <c r="R7" s="27"/>
      <c r="S7" s="28"/>
      <c r="T7" s="13"/>
      <c r="U7" s="1"/>
      <c r="V7" s="25"/>
      <c r="W7" s="29" t="s">
        <v>8</v>
      </c>
      <c r="X7" s="27"/>
      <c r="Y7" s="27"/>
      <c r="Z7" s="30"/>
      <c r="AA7" s="31">
        <f>L16</f>
        <v>1620</v>
      </c>
      <c r="AB7" s="13"/>
    </row>
    <row r="8" spans="1:28" x14ac:dyDescent="0.3">
      <c r="A8" s="1"/>
      <c r="B8" s="9"/>
      <c r="C8" s="1" t="s">
        <v>9</v>
      </c>
      <c r="D8" s="1"/>
      <c r="E8" s="20">
        <v>4800</v>
      </c>
      <c r="F8" s="21">
        <v>5400</v>
      </c>
      <c r="G8" s="22"/>
      <c r="H8" s="23"/>
      <c r="I8" s="24"/>
      <c r="J8" s="23" t="s">
        <v>10</v>
      </c>
      <c r="K8" s="23"/>
      <c r="L8" s="32">
        <f>6375*6</f>
        <v>38250</v>
      </c>
      <c r="M8" s="22"/>
      <c r="N8" s="23"/>
      <c r="O8" s="24"/>
      <c r="P8" s="33"/>
      <c r="Q8" s="34" t="s">
        <v>11</v>
      </c>
      <c r="R8" s="34">
        <f>L7</f>
        <v>54000</v>
      </c>
      <c r="S8" s="35"/>
      <c r="T8" s="13"/>
      <c r="U8" s="1"/>
      <c r="V8" s="24"/>
      <c r="W8" s="33"/>
      <c r="X8" s="34" t="s">
        <v>12</v>
      </c>
      <c r="Y8" s="34"/>
      <c r="Z8" s="36"/>
      <c r="AA8" s="37">
        <f>L10</f>
        <v>750</v>
      </c>
      <c r="AB8" s="13"/>
    </row>
    <row r="9" spans="1:28" x14ac:dyDescent="0.3">
      <c r="A9" s="1"/>
      <c r="B9" s="9"/>
      <c r="C9" s="1" t="s">
        <v>13</v>
      </c>
      <c r="D9" s="1"/>
      <c r="E9" s="20">
        <v>4800</v>
      </c>
      <c r="F9" s="20">
        <v>3000</v>
      </c>
      <c r="G9" s="22"/>
      <c r="H9" s="23"/>
      <c r="I9" s="24"/>
      <c r="J9" s="23" t="s">
        <v>14</v>
      </c>
      <c r="K9" s="23"/>
      <c r="L9" s="2">
        <f>+L7-L8</f>
        <v>15750</v>
      </c>
      <c r="M9" s="22"/>
      <c r="N9" s="23"/>
      <c r="O9" s="24"/>
      <c r="P9" s="33"/>
      <c r="Q9" s="34" t="s">
        <v>15</v>
      </c>
      <c r="R9" s="38">
        <f>F8-E8</f>
        <v>600</v>
      </c>
      <c r="S9" s="39"/>
      <c r="T9" s="13"/>
      <c r="U9" s="1"/>
      <c r="V9" s="24"/>
      <c r="W9" s="33"/>
      <c r="X9" s="34" t="s">
        <v>15</v>
      </c>
      <c r="Y9" s="34"/>
      <c r="Z9" s="36"/>
      <c r="AA9" s="37">
        <f>R9</f>
        <v>600</v>
      </c>
      <c r="AB9" s="13"/>
    </row>
    <row r="10" spans="1:28" x14ac:dyDescent="0.3">
      <c r="A10" s="1"/>
      <c r="B10" s="9"/>
      <c r="C10" s="1" t="s">
        <v>16</v>
      </c>
      <c r="D10" s="1"/>
      <c r="E10" s="40">
        <v>1200</v>
      </c>
      <c r="F10" s="40">
        <v>600</v>
      </c>
      <c r="G10" s="22"/>
      <c r="H10" s="23"/>
      <c r="I10" s="24"/>
      <c r="J10" s="23" t="s">
        <v>12</v>
      </c>
      <c r="K10" s="23"/>
      <c r="L10" s="2">
        <f>125*6</f>
        <v>750</v>
      </c>
      <c r="M10" s="22"/>
      <c r="N10" s="23"/>
      <c r="O10" s="24"/>
      <c r="P10" s="41"/>
      <c r="Q10" s="42"/>
      <c r="R10" s="34">
        <f>SUM(R9,R8)</f>
        <v>54600</v>
      </c>
      <c r="S10" s="43"/>
      <c r="T10" s="13"/>
      <c r="U10" s="1"/>
      <c r="V10" s="24"/>
      <c r="W10" s="33"/>
      <c r="X10" s="34" t="s">
        <v>17</v>
      </c>
      <c r="Y10" s="34"/>
      <c r="Z10" s="36"/>
      <c r="AA10" s="37">
        <f>R13</f>
        <v>-1800</v>
      </c>
      <c r="AB10" s="13"/>
    </row>
    <row r="11" spans="1:28" x14ac:dyDescent="0.3">
      <c r="A11" s="1"/>
      <c r="B11" s="9"/>
      <c r="C11" s="44" t="s">
        <v>18</v>
      </c>
      <c r="D11" s="1"/>
      <c r="E11" s="2">
        <f>SUM(E7:E10)</f>
        <v>14400</v>
      </c>
      <c r="F11" s="2">
        <f>SUM(F7:F10)</f>
        <v>9600</v>
      </c>
      <c r="G11" s="22"/>
      <c r="H11" s="23"/>
      <c r="I11" s="24"/>
      <c r="J11" s="23" t="s">
        <v>19</v>
      </c>
      <c r="K11" s="23"/>
      <c r="L11" s="32">
        <f>1800*6</f>
        <v>10800</v>
      </c>
      <c r="M11" s="22"/>
      <c r="N11" s="23"/>
      <c r="O11" s="24"/>
      <c r="P11" s="45" t="s">
        <v>20</v>
      </c>
      <c r="Q11" s="34"/>
      <c r="R11" s="34"/>
      <c r="S11" s="35"/>
      <c r="T11" s="13"/>
      <c r="U11" s="1"/>
      <c r="V11" s="24"/>
      <c r="W11" s="33"/>
      <c r="X11" s="34" t="s">
        <v>21</v>
      </c>
      <c r="Y11" s="34"/>
      <c r="Z11" s="36"/>
      <c r="AA11" s="37">
        <f>F10-E10</f>
        <v>-600</v>
      </c>
      <c r="AB11" s="13"/>
    </row>
    <row r="12" spans="1:28" x14ac:dyDescent="0.3">
      <c r="A12" s="1"/>
      <c r="B12" s="9"/>
      <c r="C12" s="1"/>
      <c r="D12" s="1"/>
      <c r="E12" s="2"/>
      <c r="F12" s="2"/>
      <c r="G12" s="22"/>
      <c r="H12" s="23"/>
      <c r="I12" s="24"/>
      <c r="J12" s="23" t="s">
        <v>22</v>
      </c>
      <c r="K12" s="1"/>
      <c r="L12" s="2">
        <f>+L9-L10-L11</f>
        <v>4200</v>
      </c>
      <c r="M12" s="22"/>
      <c r="N12" s="23"/>
      <c r="O12" s="24"/>
      <c r="P12" s="33"/>
      <c r="Q12" s="34" t="s">
        <v>10</v>
      </c>
      <c r="R12" s="34">
        <f>L8</f>
        <v>38250</v>
      </c>
      <c r="S12" s="39"/>
      <c r="T12" s="13"/>
      <c r="U12" s="1"/>
      <c r="V12" s="24"/>
      <c r="W12" s="33"/>
      <c r="X12" s="34" t="s">
        <v>23</v>
      </c>
      <c r="Y12" s="34"/>
      <c r="Z12" s="36"/>
      <c r="AA12" s="37">
        <f>R14</f>
        <v>1800</v>
      </c>
      <c r="AB12" s="13"/>
    </row>
    <row r="13" spans="1:28" x14ac:dyDescent="0.3">
      <c r="A13" s="1"/>
      <c r="B13" s="9"/>
      <c r="C13" s="1" t="s">
        <v>24</v>
      </c>
      <c r="D13" s="1"/>
      <c r="E13" s="20">
        <v>5400</v>
      </c>
      <c r="F13" s="20">
        <v>3600</v>
      </c>
      <c r="G13" s="22"/>
      <c r="H13" s="23"/>
      <c r="I13" s="24"/>
      <c r="J13" s="23" t="s">
        <v>25</v>
      </c>
      <c r="K13" s="23"/>
      <c r="L13" s="32">
        <f>300*6</f>
        <v>1800</v>
      </c>
      <c r="M13" s="22"/>
      <c r="N13" s="23"/>
      <c r="O13" s="24"/>
      <c r="P13" s="41"/>
      <c r="Q13" s="34" t="s">
        <v>17</v>
      </c>
      <c r="R13" s="34">
        <f>F9-E9</f>
        <v>-1800</v>
      </c>
      <c r="S13" s="39"/>
      <c r="T13" s="13"/>
      <c r="U13" s="1"/>
      <c r="V13" s="24"/>
      <c r="W13" s="33"/>
      <c r="X13" s="34" t="s">
        <v>26</v>
      </c>
      <c r="Y13" s="34"/>
      <c r="Z13" s="36"/>
      <c r="AA13" s="37">
        <f>-(E20-F20)-(E21-F21)</f>
        <v>600</v>
      </c>
      <c r="AB13" s="13"/>
    </row>
    <row r="14" spans="1:28" ht="20.399999999999999" x14ac:dyDescent="0.35">
      <c r="A14" s="1"/>
      <c r="B14" s="9"/>
      <c r="C14" s="1" t="s">
        <v>27</v>
      </c>
      <c r="D14" s="1"/>
      <c r="E14" s="20">
        <v>-1200</v>
      </c>
      <c r="F14" s="21">
        <v>-600</v>
      </c>
      <c r="G14" s="22"/>
      <c r="H14" s="23"/>
      <c r="I14" s="24"/>
      <c r="J14" s="23" t="s">
        <v>28</v>
      </c>
      <c r="K14" s="23"/>
      <c r="L14" s="2">
        <f>+L12-L13</f>
        <v>2400</v>
      </c>
      <c r="M14" s="22"/>
      <c r="N14" s="23"/>
      <c r="O14" s="24"/>
      <c r="P14" s="41"/>
      <c r="Q14" s="34" t="s">
        <v>23</v>
      </c>
      <c r="R14" s="38">
        <f>E19-F19</f>
        <v>1800</v>
      </c>
      <c r="S14" s="39"/>
      <c r="T14" s="13"/>
      <c r="U14" s="1"/>
      <c r="V14" s="24"/>
      <c r="W14" s="46"/>
      <c r="X14" s="47" t="s">
        <v>29</v>
      </c>
      <c r="Y14" s="48"/>
      <c r="Z14" s="49"/>
      <c r="AA14" s="50">
        <f>SUM(AA7:AA13)</f>
        <v>2970</v>
      </c>
      <c r="AB14" s="13"/>
    </row>
    <row r="15" spans="1:28" x14ac:dyDescent="0.3">
      <c r="A15" s="1"/>
      <c r="B15" s="9"/>
      <c r="C15" s="1" t="s">
        <v>30</v>
      </c>
      <c r="D15" s="1"/>
      <c r="E15" s="21">
        <v>900</v>
      </c>
      <c r="F15" s="21">
        <v>4200</v>
      </c>
      <c r="G15" s="22"/>
      <c r="H15" s="23"/>
      <c r="I15" s="24"/>
      <c r="J15" s="23" t="s">
        <v>31</v>
      </c>
      <c r="K15" s="23"/>
      <c r="L15" s="32">
        <f>130*6</f>
        <v>780</v>
      </c>
      <c r="M15" s="22"/>
      <c r="N15" s="23"/>
      <c r="O15" s="24"/>
      <c r="P15" s="41"/>
      <c r="Q15" s="42"/>
      <c r="R15" s="34">
        <f>SUM(R12,R13,R14)</f>
        <v>38250</v>
      </c>
      <c r="S15" s="43"/>
      <c r="T15" s="13"/>
      <c r="U15" s="1"/>
      <c r="V15" s="24"/>
      <c r="W15" s="23"/>
      <c r="X15" s="1"/>
      <c r="Y15" s="1"/>
      <c r="Z15" s="3"/>
      <c r="AA15" s="1"/>
      <c r="AB15" s="13"/>
    </row>
    <row r="16" spans="1:28" x14ac:dyDescent="0.3">
      <c r="A16" s="1"/>
      <c r="B16" s="9"/>
      <c r="C16" s="1" t="s">
        <v>32</v>
      </c>
      <c r="D16" s="1"/>
      <c r="E16" s="20">
        <v>600</v>
      </c>
      <c r="F16" s="21">
        <v>750</v>
      </c>
      <c r="G16" s="22"/>
      <c r="H16" s="23"/>
      <c r="I16" s="24"/>
      <c r="J16" s="23" t="s">
        <v>8</v>
      </c>
      <c r="K16" s="23"/>
      <c r="L16" s="2">
        <f>+L14-L15</f>
        <v>1620</v>
      </c>
      <c r="M16" s="22"/>
      <c r="N16" s="23"/>
      <c r="O16" s="24"/>
      <c r="P16" s="51" t="s">
        <v>33</v>
      </c>
      <c r="Q16" s="42"/>
      <c r="R16" s="42"/>
      <c r="S16" s="39"/>
      <c r="T16" s="13"/>
      <c r="U16" s="1"/>
      <c r="V16" s="24"/>
      <c r="W16" s="52"/>
      <c r="X16" s="53" t="s">
        <v>34</v>
      </c>
      <c r="Y16" s="54"/>
      <c r="Z16" s="55"/>
      <c r="AA16" s="56">
        <f>S24</f>
        <v>3300</v>
      </c>
      <c r="AB16" s="13"/>
    </row>
    <row r="17" spans="1:28" ht="15" thickBot="1" x14ac:dyDescent="0.35">
      <c r="A17" s="1"/>
      <c r="B17" s="9"/>
      <c r="C17" s="44" t="s">
        <v>35</v>
      </c>
      <c r="D17" s="1"/>
      <c r="E17" s="57">
        <f>SUM(E11:E16)</f>
        <v>20100</v>
      </c>
      <c r="F17" s="57">
        <f>SUM(F11:F16)</f>
        <v>17550</v>
      </c>
      <c r="G17" s="22"/>
      <c r="H17" s="23"/>
      <c r="I17" s="24"/>
      <c r="J17" s="23"/>
      <c r="K17" s="23"/>
      <c r="L17" s="2"/>
      <c r="M17" s="22"/>
      <c r="N17" s="23"/>
      <c r="O17" s="24"/>
      <c r="P17" s="41"/>
      <c r="Q17" s="34" t="s">
        <v>36</v>
      </c>
      <c r="R17" s="34">
        <f>L11</f>
        <v>10800</v>
      </c>
      <c r="S17" s="39"/>
      <c r="T17" s="13"/>
      <c r="U17" s="1"/>
      <c r="V17" s="24"/>
      <c r="W17" s="58"/>
      <c r="X17" s="53" t="s">
        <v>37</v>
      </c>
      <c r="Y17" s="1"/>
      <c r="Z17" s="2"/>
      <c r="AA17" s="59">
        <f>F13-E13</f>
        <v>-1800</v>
      </c>
      <c r="AB17" s="13"/>
    </row>
    <row r="18" spans="1:28" ht="21" thickTop="1" x14ac:dyDescent="0.35">
      <c r="A18" s="1"/>
      <c r="B18" s="9"/>
      <c r="C18" s="1"/>
      <c r="D18" s="1"/>
      <c r="E18" s="2"/>
      <c r="F18" s="23"/>
      <c r="G18" s="22"/>
      <c r="H18" s="23"/>
      <c r="I18" s="24"/>
      <c r="J18" s="23"/>
      <c r="K18" s="23"/>
      <c r="L18" s="2"/>
      <c r="M18" s="22"/>
      <c r="N18" s="23"/>
      <c r="O18" s="24"/>
      <c r="P18" s="41"/>
      <c r="Q18" s="34" t="s">
        <v>38</v>
      </c>
      <c r="R18" s="34">
        <f>L13</f>
        <v>1800</v>
      </c>
      <c r="S18" s="39"/>
      <c r="T18" s="13"/>
      <c r="U18" s="1"/>
      <c r="V18" s="24"/>
      <c r="W18" s="60"/>
      <c r="X18" s="61" t="s">
        <v>39</v>
      </c>
      <c r="Y18" s="62"/>
      <c r="Z18" s="63"/>
      <c r="AA18" s="64">
        <f>SUM(AA16:AA17)</f>
        <v>1500</v>
      </c>
      <c r="AB18" s="13"/>
    </row>
    <row r="19" spans="1:28" x14ac:dyDescent="0.3">
      <c r="A19" s="1"/>
      <c r="B19" s="9"/>
      <c r="C19" s="1" t="s">
        <v>40</v>
      </c>
      <c r="D19" s="1"/>
      <c r="E19" s="2">
        <v>3300</v>
      </c>
      <c r="F19" s="2">
        <v>1500</v>
      </c>
      <c r="G19" s="22"/>
      <c r="H19" s="23"/>
      <c r="I19" s="24"/>
      <c r="J19" s="23"/>
      <c r="K19" s="23"/>
      <c r="L19" s="2"/>
      <c r="M19" s="22"/>
      <c r="N19" s="23"/>
      <c r="O19" s="9"/>
      <c r="P19" s="41"/>
      <c r="Q19" s="42" t="s">
        <v>41</v>
      </c>
      <c r="R19" s="34">
        <f>L15</f>
        <v>780</v>
      </c>
      <c r="S19" s="39"/>
      <c r="T19" s="13"/>
      <c r="U19" s="1"/>
      <c r="V19" s="24"/>
      <c r="W19" s="23"/>
      <c r="X19" s="1"/>
      <c r="Y19" s="1"/>
      <c r="Z19" s="3"/>
      <c r="AA19" s="1"/>
      <c r="AB19" s="13"/>
    </row>
    <row r="20" spans="1:28" x14ac:dyDescent="0.3">
      <c r="A20" s="1"/>
      <c r="B20" s="9"/>
      <c r="C20" s="1" t="s">
        <v>42</v>
      </c>
      <c r="D20" s="1"/>
      <c r="E20" s="20">
        <v>900</v>
      </c>
      <c r="F20" s="20">
        <v>300</v>
      </c>
      <c r="G20" s="22"/>
      <c r="H20" s="23"/>
      <c r="I20" s="24"/>
      <c r="J20" s="23"/>
      <c r="K20" s="23"/>
      <c r="L20" s="2"/>
      <c r="M20" s="22"/>
      <c r="N20" s="23"/>
      <c r="O20" s="24"/>
      <c r="P20" s="41"/>
      <c r="Q20" s="42"/>
      <c r="R20" s="34">
        <f>SUM(R17,R18,R19)</f>
        <v>13380</v>
      </c>
      <c r="S20" s="43"/>
      <c r="T20" s="13"/>
      <c r="U20" s="1"/>
      <c r="V20" s="24"/>
      <c r="W20" s="65"/>
      <c r="X20" s="27" t="s">
        <v>43</v>
      </c>
      <c r="Y20" s="27"/>
      <c r="Z20" s="30"/>
      <c r="AA20" s="31">
        <f>E24-F24</f>
        <v>-600</v>
      </c>
      <c r="AB20" s="13"/>
    </row>
    <row r="21" spans="1:28" ht="20.399999999999999" x14ac:dyDescent="0.35">
      <c r="A21" s="1"/>
      <c r="B21" s="9"/>
      <c r="C21" s="1" t="s">
        <v>44</v>
      </c>
      <c r="D21" s="1"/>
      <c r="E21" s="40">
        <v>1200</v>
      </c>
      <c r="F21" s="40">
        <v>2400</v>
      </c>
      <c r="G21" s="22"/>
      <c r="H21" s="23"/>
      <c r="I21" s="24"/>
      <c r="J21" s="23"/>
      <c r="K21" s="23"/>
      <c r="L21" s="2"/>
      <c r="M21" s="22"/>
      <c r="N21" s="23"/>
      <c r="O21" s="24"/>
      <c r="P21" s="46"/>
      <c r="Q21" s="47" t="s">
        <v>29</v>
      </c>
      <c r="R21" s="48"/>
      <c r="S21" s="66">
        <f>((R10)-R15-R20)</f>
        <v>2970</v>
      </c>
      <c r="T21" s="13"/>
      <c r="U21" s="1"/>
      <c r="V21" s="24"/>
      <c r="W21" s="33"/>
      <c r="X21" s="34" t="s">
        <v>45</v>
      </c>
      <c r="Y21" s="34"/>
      <c r="Z21" s="36"/>
      <c r="AA21" s="37">
        <f>E27-F27</f>
        <v>1050</v>
      </c>
      <c r="AB21" s="13"/>
    </row>
    <row r="22" spans="1:28" x14ac:dyDescent="0.3">
      <c r="A22" s="1"/>
      <c r="B22" s="9"/>
      <c r="C22" s="1" t="s">
        <v>46</v>
      </c>
      <c r="D22" s="1"/>
      <c r="E22" s="20">
        <f>SUM(E19:E21)</f>
        <v>5400</v>
      </c>
      <c r="F22" s="20">
        <f>SUM(F19:F21)</f>
        <v>4200</v>
      </c>
      <c r="G22" s="13"/>
      <c r="H22" s="1"/>
      <c r="I22" s="9"/>
      <c r="J22" s="23"/>
      <c r="K22" s="1"/>
      <c r="L22" s="2"/>
      <c r="M22" s="13"/>
      <c r="N22" s="1"/>
      <c r="O22" s="24"/>
      <c r="S22" s="67"/>
      <c r="T22" s="13"/>
      <c r="U22" s="1"/>
      <c r="V22" s="24"/>
      <c r="W22" s="33"/>
      <c r="X22" s="34" t="s">
        <v>47</v>
      </c>
      <c r="Y22" s="34"/>
      <c r="Z22" s="36"/>
      <c r="AA22" s="37">
        <f>S30</f>
        <v>-720</v>
      </c>
      <c r="AB22" s="13"/>
    </row>
    <row r="23" spans="1:28" ht="21" thickBot="1" x14ac:dyDescent="0.4">
      <c r="A23" s="1"/>
      <c r="B23" s="9"/>
      <c r="C23" s="1"/>
      <c r="D23" s="1"/>
      <c r="E23" s="1"/>
      <c r="F23" s="1"/>
      <c r="G23" s="13"/>
      <c r="H23" s="1"/>
      <c r="I23" s="68"/>
      <c r="J23" s="69"/>
      <c r="K23" s="70"/>
      <c r="L23" s="71"/>
      <c r="M23" s="72"/>
      <c r="N23" s="1"/>
      <c r="O23" s="24"/>
      <c r="S23" s="67"/>
      <c r="T23" s="13"/>
      <c r="U23" s="1"/>
      <c r="V23" s="9"/>
      <c r="W23" s="73"/>
      <c r="X23" s="47" t="s">
        <v>48</v>
      </c>
      <c r="Y23" s="38"/>
      <c r="Z23" s="74"/>
      <c r="AA23" s="75">
        <f>SUM(AA20:AA22)</f>
        <v>-270</v>
      </c>
      <c r="AB23" s="13"/>
    </row>
    <row r="24" spans="1:28" x14ac:dyDescent="0.3">
      <c r="A24" s="1"/>
      <c r="B24" s="9"/>
      <c r="C24" s="1" t="s">
        <v>49</v>
      </c>
      <c r="D24" s="1"/>
      <c r="E24" s="32">
        <v>1200</v>
      </c>
      <c r="F24" s="32">
        <v>1800</v>
      </c>
      <c r="G24" s="13"/>
      <c r="H24" s="1"/>
      <c r="I24" s="1"/>
      <c r="J24" s="1"/>
      <c r="K24" s="1"/>
      <c r="L24" s="3"/>
      <c r="M24" s="1"/>
      <c r="N24" s="1"/>
      <c r="O24" s="9"/>
      <c r="P24" s="76" t="s">
        <v>34</v>
      </c>
      <c r="Q24" s="77"/>
      <c r="R24" s="77"/>
      <c r="S24" s="78">
        <f>F15-E15</f>
        <v>3300</v>
      </c>
      <c r="T24" s="13"/>
      <c r="U24" s="1"/>
      <c r="V24" s="79"/>
      <c r="AB24" s="80"/>
    </row>
    <row r="25" spans="1:28" ht="15.6" x14ac:dyDescent="0.3">
      <c r="A25" s="1"/>
      <c r="B25" s="9"/>
      <c r="C25" s="1" t="s">
        <v>50</v>
      </c>
      <c r="D25" s="1"/>
      <c r="E25" s="2">
        <f>+E22+E24</f>
        <v>6600</v>
      </c>
      <c r="F25" s="2">
        <f>+F22+F24</f>
        <v>6000</v>
      </c>
      <c r="G25" s="13"/>
      <c r="H25" s="1"/>
      <c r="I25" s="1"/>
      <c r="J25" s="1"/>
      <c r="K25" s="1"/>
      <c r="L25" s="3"/>
      <c r="M25" s="1"/>
      <c r="N25" s="1"/>
      <c r="O25" s="9"/>
      <c r="P25" s="81" t="s">
        <v>37</v>
      </c>
      <c r="Q25" s="1"/>
      <c r="R25" s="23"/>
      <c r="S25" s="82">
        <f>F13-E13</f>
        <v>-1800</v>
      </c>
      <c r="T25" s="13"/>
      <c r="U25" s="1"/>
      <c r="V25" s="9"/>
      <c r="W25" s="1"/>
      <c r="X25" s="83" t="s">
        <v>51</v>
      </c>
      <c r="Y25" s="83"/>
      <c r="Z25" s="84"/>
      <c r="AA25" s="85">
        <f>SUM(AA14,AA18,AA23)</f>
        <v>4200</v>
      </c>
      <c r="AB25" s="13"/>
    </row>
    <row r="26" spans="1:28" ht="25.2" thickBot="1" x14ac:dyDescent="0.45">
      <c r="A26" s="1"/>
      <c r="B26" s="9"/>
      <c r="C26" s="1"/>
      <c r="D26" s="1"/>
      <c r="E26" s="2"/>
      <c r="F26" s="2"/>
      <c r="G26" s="13"/>
      <c r="H26" s="1"/>
      <c r="I26" s="1"/>
      <c r="J26" s="1"/>
      <c r="K26" s="1"/>
      <c r="L26" s="3"/>
      <c r="M26" s="1"/>
      <c r="N26" s="1"/>
      <c r="O26" s="9"/>
      <c r="P26" s="86"/>
      <c r="Q26" s="87" t="s">
        <v>39</v>
      </c>
      <c r="R26" s="62"/>
      <c r="S26" s="88">
        <f>SUM(S24,S25)</f>
        <v>1500</v>
      </c>
      <c r="T26" s="13"/>
      <c r="U26" s="1"/>
      <c r="V26" s="68"/>
      <c r="W26" s="70"/>
      <c r="X26" s="70"/>
      <c r="Y26" s="70"/>
      <c r="Z26" s="89"/>
      <c r="AA26" s="70"/>
      <c r="AB26" s="72"/>
    </row>
    <row r="27" spans="1:28" x14ac:dyDescent="0.3">
      <c r="A27" s="1"/>
      <c r="B27" s="9"/>
      <c r="C27" s="1" t="s">
        <v>52</v>
      </c>
      <c r="D27" s="1"/>
      <c r="E27" s="2">
        <v>7800</v>
      </c>
      <c r="F27" s="2">
        <v>6750</v>
      </c>
      <c r="G27" s="13"/>
      <c r="H27" s="1"/>
      <c r="I27" s="1"/>
      <c r="J27" s="1"/>
      <c r="K27" s="1"/>
      <c r="L27" s="3"/>
      <c r="M27" s="1"/>
      <c r="N27" s="1"/>
      <c r="O27" s="9"/>
      <c r="P27" s="23"/>
      <c r="Q27" s="1"/>
      <c r="R27" s="1"/>
      <c r="S27" s="3"/>
      <c r="T27" s="13"/>
      <c r="U27" s="1"/>
      <c r="V27" s="1"/>
      <c r="W27" s="1"/>
      <c r="X27" s="1"/>
      <c r="Y27" s="1"/>
      <c r="Z27" s="3"/>
      <c r="AA27" s="1"/>
      <c r="AB27" s="1"/>
    </row>
    <row r="28" spans="1:28" x14ac:dyDescent="0.3">
      <c r="A28" s="1"/>
      <c r="B28" s="9"/>
      <c r="C28" s="1" t="s">
        <v>53</v>
      </c>
      <c r="D28" s="1"/>
      <c r="E28" s="32">
        <v>5700</v>
      </c>
      <c r="F28" s="32">
        <v>4800</v>
      </c>
      <c r="G28" s="13"/>
      <c r="H28" s="1"/>
      <c r="I28" s="1"/>
      <c r="J28" s="1"/>
      <c r="K28" s="1"/>
      <c r="L28" s="3"/>
      <c r="M28" s="1"/>
      <c r="N28" s="1"/>
      <c r="O28" s="9"/>
      <c r="P28" s="29" t="s">
        <v>43</v>
      </c>
      <c r="Q28" s="27"/>
      <c r="R28" s="27"/>
      <c r="S28" s="28">
        <f>E24-F24</f>
        <v>-600</v>
      </c>
      <c r="T28" s="13"/>
      <c r="U28" s="1"/>
      <c r="V28" s="1"/>
      <c r="W28" s="1"/>
      <c r="X28" s="1"/>
      <c r="Y28" s="1"/>
      <c r="Z28" s="3"/>
      <c r="AA28" s="1"/>
      <c r="AB28" s="1"/>
    </row>
    <row r="29" spans="1:28" x14ac:dyDescent="0.3">
      <c r="A29" s="1"/>
      <c r="B29" s="9"/>
      <c r="C29" s="1" t="s">
        <v>54</v>
      </c>
      <c r="D29" s="1"/>
      <c r="E29" s="2">
        <f>SUM(E27:E28)</f>
        <v>13500</v>
      </c>
      <c r="F29" s="2">
        <f>SUM(F27:F28)</f>
        <v>11550</v>
      </c>
      <c r="G29" s="13"/>
      <c r="H29" s="1"/>
      <c r="I29" s="1"/>
      <c r="J29" s="1"/>
      <c r="K29" s="1"/>
      <c r="L29" s="3"/>
      <c r="M29" s="1"/>
      <c r="N29" s="1"/>
      <c r="O29" s="9"/>
      <c r="P29" s="33" t="s">
        <v>45</v>
      </c>
      <c r="Q29" s="42"/>
      <c r="R29" s="34"/>
      <c r="S29" s="35">
        <f>E27-F27</f>
        <v>1050</v>
      </c>
      <c r="T29" s="13"/>
      <c r="U29" s="1"/>
      <c r="V29" s="1"/>
      <c r="W29" s="1"/>
      <c r="X29" s="1"/>
      <c r="Y29" s="1"/>
      <c r="Z29" s="3"/>
      <c r="AA29" s="1"/>
      <c r="AB29" s="1"/>
    </row>
    <row r="30" spans="1:28" ht="15" thickBot="1" x14ac:dyDescent="0.35">
      <c r="A30" s="1"/>
      <c r="B30" s="9"/>
      <c r="C30" s="1" t="s">
        <v>55</v>
      </c>
      <c r="D30" s="1"/>
      <c r="E30" s="90">
        <f>+E25+E29</f>
        <v>20100</v>
      </c>
      <c r="F30" s="90">
        <f>+F25+F29</f>
        <v>17550</v>
      </c>
      <c r="G30" s="13"/>
      <c r="H30" s="1"/>
      <c r="I30" s="1"/>
      <c r="J30" s="1"/>
      <c r="K30" s="1"/>
      <c r="L30" s="3"/>
      <c r="M30" s="1"/>
      <c r="N30" s="1"/>
      <c r="O30" s="9"/>
      <c r="P30" s="33" t="s">
        <v>47</v>
      </c>
      <c r="Q30" s="42"/>
      <c r="R30" s="34"/>
      <c r="S30" s="35">
        <f>(E28-F28)-L16</f>
        <v>-720</v>
      </c>
      <c r="T30" s="13"/>
      <c r="U30" s="1"/>
      <c r="V30" s="1"/>
      <c r="W30" s="1"/>
      <c r="X30" s="1"/>
      <c r="Y30" s="1"/>
      <c r="Z30" s="3"/>
      <c r="AA30" s="1"/>
      <c r="AB30" s="1"/>
    </row>
    <row r="31" spans="1:28" ht="21.6" thickTop="1" thickBot="1" x14ac:dyDescent="0.4">
      <c r="A31" s="1"/>
      <c r="B31" s="68"/>
      <c r="C31" s="70"/>
      <c r="D31" s="70"/>
      <c r="E31" s="71"/>
      <c r="F31" s="71"/>
      <c r="G31" s="72"/>
      <c r="H31" s="1"/>
      <c r="I31" s="1"/>
      <c r="J31" s="1"/>
      <c r="K31" s="1"/>
      <c r="L31" s="3"/>
      <c r="M31" s="1"/>
      <c r="N31" s="1"/>
      <c r="O31" s="9"/>
      <c r="P31" s="91" t="s">
        <v>48</v>
      </c>
      <c r="Q31" s="48"/>
      <c r="R31" s="38"/>
      <c r="S31" s="92">
        <f>SUM(S28,S29,S30)</f>
        <v>-270</v>
      </c>
      <c r="T31" s="13"/>
      <c r="U31" s="1"/>
      <c r="V31" s="1"/>
      <c r="W31" s="1"/>
      <c r="X31" s="1"/>
      <c r="Y31" s="1"/>
      <c r="Z31" s="3"/>
      <c r="AA31" s="1"/>
      <c r="AB31" s="1"/>
    </row>
    <row r="32" spans="1:28" x14ac:dyDescent="0.3">
      <c r="A32" s="1"/>
      <c r="B32" s="1"/>
      <c r="C32" s="1"/>
      <c r="D32" s="1"/>
      <c r="E32" s="2"/>
      <c r="F32" s="2"/>
      <c r="G32" s="1"/>
      <c r="H32" s="1"/>
      <c r="I32" s="1"/>
      <c r="J32" s="1"/>
      <c r="K32" s="1"/>
      <c r="L32" s="3"/>
      <c r="M32" s="1"/>
      <c r="N32" s="1"/>
      <c r="O32" s="9"/>
      <c r="P32" s="23"/>
      <c r="Q32" s="1"/>
      <c r="R32" s="23"/>
      <c r="S32" s="2"/>
      <c r="T32" s="13"/>
      <c r="U32" s="1"/>
      <c r="V32" s="1"/>
      <c r="W32" s="1"/>
      <c r="X32" s="1"/>
      <c r="Y32" s="1"/>
      <c r="Z32" s="3"/>
      <c r="AA32" s="1"/>
      <c r="AB32" s="1"/>
    </row>
    <row r="33" spans="1:28" ht="15.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9"/>
      <c r="P33" s="1"/>
      <c r="Q33" s="83" t="s">
        <v>51</v>
      </c>
      <c r="R33" s="83"/>
      <c r="S33" s="93">
        <f>SUM(S21,S26,S31)</f>
        <v>4200</v>
      </c>
      <c r="T33" s="13"/>
      <c r="U33" s="1"/>
      <c r="V33" s="1"/>
      <c r="W33" s="1"/>
      <c r="X33" s="1"/>
      <c r="Y33" s="1"/>
      <c r="Z33" s="3"/>
      <c r="AA33" s="1"/>
      <c r="AB33" s="1"/>
    </row>
    <row r="34" spans="1:28" ht="15" thickBo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68"/>
      <c r="P34" s="70"/>
      <c r="Q34" s="70"/>
      <c r="R34" s="70"/>
      <c r="S34" s="89"/>
      <c r="T34" s="72"/>
      <c r="U34" s="1"/>
      <c r="V34" s="1"/>
      <c r="W34" s="1"/>
      <c r="X34" s="1"/>
      <c r="Y34" s="1"/>
      <c r="Z34" s="3"/>
      <c r="AA34" s="1"/>
      <c r="AB34" s="1"/>
    </row>
    <row r="35" spans="1:28" x14ac:dyDescent="0.3">
      <c r="A35" s="1"/>
      <c r="B35" s="1"/>
      <c r="C35" s="1"/>
      <c r="D35" s="1"/>
      <c r="E35" s="2"/>
      <c r="F35" s="2"/>
      <c r="G35" s="1"/>
      <c r="H35" s="1"/>
      <c r="I35" s="1"/>
      <c r="J35" s="1"/>
      <c r="K35" s="1"/>
      <c r="L35" s="3"/>
      <c r="M35" s="1"/>
      <c r="N35" s="1"/>
      <c r="O35" s="1"/>
      <c r="P35" s="1"/>
      <c r="Q35" s="1"/>
      <c r="R35" s="1"/>
      <c r="S35" s="3"/>
      <c r="T35" s="1"/>
      <c r="U35" s="1"/>
      <c r="V35" s="1"/>
      <c r="W35" s="1"/>
      <c r="X35" s="1"/>
      <c r="Y35" s="1"/>
      <c r="Z35" s="3"/>
      <c r="AA35" s="1"/>
      <c r="AB35" s="1"/>
    </row>
  </sheetData>
  <mergeCells count="5">
    <mergeCell ref="B2:AB2"/>
    <mergeCell ref="C5:F5"/>
    <mergeCell ref="J5:L5"/>
    <mergeCell ref="O5:T5"/>
    <mergeCell ref="V5:A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Kasi, Punit Alagappan</cp:lastModifiedBy>
  <dcterms:created xsi:type="dcterms:W3CDTF">2021-10-01T01:53:18Z</dcterms:created>
  <dcterms:modified xsi:type="dcterms:W3CDTF">2025-04-21T03:45:10Z</dcterms:modified>
</cp:coreProperties>
</file>