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unit\OneDrive\Desktop\Finance website '\"/>
    </mc:Choice>
  </mc:AlternateContent>
  <xr:revisionPtr revIDLastSave="0" documentId="8_{BB0D98A8-6CFA-4E14-A118-B4D48EE4AE0D}" xr6:coauthVersionLast="47" xr6:coauthVersionMax="47" xr10:uidLastSave="{00000000-0000-0000-0000-000000000000}"/>
  <bookViews>
    <workbookView xWindow="-108" yWindow="-108" windowWidth="23256" windowHeight="12456" xr2:uid="{69302E97-F992-4529-A83B-D20D7F0080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42" i="1"/>
  <c r="G11" i="1"/>
  <c r="D29" i="1"/>
  <c r="E25" i="1"/>
  <c r="G5" i="1"/>
  <c r="F5" i="1"/>
  <c r="E5" i="1"/>
  <c r="D5" i="1"/>
  <c r="C5" i="1"/>
  <c r="D6" i="1"/>
  <c r="C6" i="1"/>
  <c r="C7" i="1"/>
  <c r="G6" i="1"/>
  <c r="F6" i="1"/>
  <c r="E6" i="1"/>
  <c r="D30" i="1"/>
  <c r="B30" i="1"/>
  <c r="B48" i="1"/>
  <c r="B43" i="1"/>
  <c r="B47" i="1" l="1"/>
  <c r="D22" i="1"/>
  <c r="F22" i="1" s="1"/>
  <c r="D21" i="1"/>
  <c r="F21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4" i="1"/>
  <c r="E4" i="1"/>
  <c r="F4" i="1"/>
  <c r="G4" i="1"/>
  <c r="C4" i="1"/>
  <c r="C9" i="1" s="1"/>
  <c r="G9" i="1" l="1"/>
  <c r="D9" i="1"/>
  <c r="F9" i="1"/>
  <c r="E9" i="1"/>
  <c r="F25" i="1"/>
</calcChain>
</file>

<file path=xl/sharedStrings.xml><?xml version="1.0" encoding="utf-8"?>
<sst xmlns="http://schemas.openxmlformats.org/spreadsheetml/2006/main" count="51" uniqueCount="51">
  <si>
    <t>Tax = 40%</t>
  </si>
  <si>
    <t>EBIT</t>
  </si>
  <si>
    <t>EBIT * (1-t)</t>
  </si>
  <si>
    <t xml:space="preserve">Depreciation </t>
  </si>
  <si>
    <t>*Exhibit 6</t>
  </si>
  <si>
    <t>change in NWC (-)</t>
  </si>
  <si>
    <t>* NWC = cash + acc receivable + inventory + prepaid expenses - account payable - accrued expenses</t>
  </si>
  <si>
    <t>capital expenditure (-)</t>
  </si>
  <si>
    <t>**NWC for year 1 its 2007 NWC - 2006 NWC</t>
  </si>
  <si>
    <t>*** NWC for year 2 and after: subtract the NWC of year prior</t>
  </si>
  <si>
    <t>Free Cash Flow</t>
  </si>
  <si>
    <t>* Free Cash Flow = EBIT * (1-t) + depreciation - change in NWC  - capital expenditure</t>
  </si>
  <si>
    <t>NPV</t>
  </si>
  <si>
    <t>Equity</t>
  </si>
  <si>
    <t>Volume (Equity + Debt)</t>
  </si>
  <si>
    <t>Bequity</t>
  </si>
  <si>
    <t>Bassets</t>
  </si>
  <si>
    <t>Comparables</t>
  </si>
  <si>
    <t>D&amp;B Shoe Company</t>
  </si>
  <si>
    <t>Bassets = Equity/ Volume * Bequity</t>
  </si>
  <si>
    <t>Marina Wilderness</t>
  </si>
  <si>
    <t>General Shoe Corp</t>
  </si>
  <si>
    <t>Kinsley Coulter Products</t>
  </si>
  <si>
    <t>Victory Athletic</t>
  </si>
  <si>
    <t>Surfside Footwear</t>
  </si>
  <si>
    <t>Alpine Company</t>
  </si>
  <si>
    <t>Heartland Outdoor Footwear</t>
  </si>
  <si>
    <t>Templeton Athletic</t>
  </si>
  <si>
    <t>Mercury</t>
  </si>
  <si>
    <t>* Average</t>
  </si>
  <si>
    <t>WACC</t>
  </si>
  <si>
    <r>
      <rPr>
        <b/>
        <sz val="11"/>
        <color theme="1"/>
        <rFont val="Aptos Narrow"/>
        <family val="2"/>
        <scheme val="minor"/>
      </rPr>
      <t>CAPM (Re)</t>
    </r>
    <r>
      <rPr>
        <sz val="11"/>
        <color theme="1"/>
        <rFont val="Aptos Narrow"/>
        <family val="2"/>
        <scheme val="minor"/>
      </rPr>
      <t xml:space="preserve">  = Rf + B (MRP)</t>
    </r>
  </si>
  <si>
    <t>Rf = 4.93%</t>
  </si>
  <si>
    <t>at 20 yrs (given on foot-note of page 7)</t>
  </si>
  <si>
    <t>MRP = 5%</t>
  </si>
  <si>
    <t xml:space="preserve">WACC =  {Weight of Debt * (Rd) * (1-Tax Rate)} + {Weight of Equity * (Re)} </t>
  </si>
  <si>
    <t>Rd = 6%</t>
  </si>
  <si>
    <t>Weight Debt = 20%</t>
  </si>
  <si>
    <t>1-Tax Rate = 60%</t>
  </si>
  <si>
    <t>Weight Equity = 80%</t>
  </si>
  <si>
    <t>Re = 12.92%</t>
  </si>
  <si>
    <t>Terminal Value</t>
  </si>
  <si>
    <t>* FCF(2011) * (1+g) / (WACC - g)</t>
  </si>
  <si>
    <t>g=3%</t>
  </si>
  <si>
    <t>FCF 2011 = 29544</t>
  </si>
  <si>
    <t>WACC = 11.06%</t>
  </si>
  <si>
    <t>Enterprise Value (PV)</t>
  </si>
  <si>
    <t>* (Terminal Value * Discount Factor) + NPV of years (2007 - 2011)</t>
  </si>
  <si>
    <t>Terminal Value = 337,749.06</t>
  </si>
  <si>
    <t>Discount Factor = 0.592</t>
  </si>
  <si>
    <t>NPV = 91,165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</si>
</sst>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.00_);[Red]\(&quot;$&quot;#,##0.00\)"/>
    <numFmt numFmtId="166" formatCode="&quot;$&quot;#,##0"/>
    <numFmt numFmtId="167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  <xf numFmtId="166" fontId="2" fillId="0" borderId="1" xfId="0" applyNumberFormat="1" applyFont="1" applyBorder="1" applyAlignment="1">
      <alignment horizontal="center"/>
    </xf>
    <xf numFmtId="165" fontId="0" fillId="0" borderId="0" xfId="0" applyNumberFormat="1"/>
    <xf numFmtId="10" fontId="0" fillId="0" borderId="0" xfId="0" applyNumberFormat="1"/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10" fontId="2" fillId="0" borderId="0" xfId="1" applyNumberFormat="1" applyFont="1" applyFill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DB85-D6B2-42FB-A348-1A106948B362}">
  <dimension ref="B2:M51"/>
  <sheetViews>
    <sheetView tabSelected="1" zoomScaleNormal="100" workbookViewId="0">
      <selection activeCell="D31" sqref="D31"/>
    </sheetView>
  </sheetViews>
  <sheetFormatPr defaultRowHeight="14.4" x14ac:dyDescent="0.3"/>
  <cols>
    <col min="2" max="2" width="30.88671875" bestFit="1" customWidth="1"/>
    <col min="3" max="3" width="13.88671875" bestFit="1" customWidth="1"/>
    <col min="4" max="4" width="25.6640625" customWidth="1"/>
    <col min="5" max="6" width="11.109375" bestFit="1" customWidth="1"/>
    <col min="7" max="7" width="34" customWidth="1"/>
    <col min="10" max="10" width="11.109375" customWidth="1"/>
    <col min="11" max="11" width="12.5546875" bestFit="1" customWidth="1"/>
    <col min="12" max="12" width="15.33203125" customWidth="1"/>
  </cols>
  <sheetData>
    <row r="2" spans="2:10" x14ac:dyDescent="0.3">
      <c r="C2" s="5">
        <v>2007</v>
      </c>
      <c r="D2" s="5">
        <v>2008</v>
      </c>
      <c r="E2" s="5">
        <v>2009</v>
      </c>
      <c r="F2" s="5">
        <v>2010</v>
      </c>
      <c r="G2" s="5">
        <v>2011</v>
      </c>
      <c r="I2" t="s">
        <v>0</v>
      </c>
    </row>
    <row r="3" spans="2:10" x14ac:dyDescent="0.3">
      <c r="B3" s="5" t="s">
        <v>1</v>
      </c>
      <c r="C3" s="7">
        <v>47005</v>
      </c>
      <c r="D3" s="7">
        <v>53036</v>
      </c>
      <c r="E3" s="7">
        <v>57605</v>
      </c>
      <c r="F3" s="7">
        <v>61686</v>
      </c>
      <c r="G3" s="7">
        <v>64612</v>
      </c>
    </row>
    <row r="4" spans="2:10" x14ac:dyDescent="0.3">
      <c r="B4" s="5" t="s">
        <v>2</v>
      </c>
      <c r="C4" s="7">
        <f>C3*(1-40%)</f>
        <v>28203</v>
      </c>
      <c r="D4" s="7">
        <f t="shared" ref="D4:G4" si="0">D3*(1-40%)</f>
        <v>31821.599999999999</v>
      </c>
      <c r="E4" s="7">
        <f t="shared" si="0"/>
        <v>34563</v>
      </c>
      <c r="F4" s="7">
        <f t="shared" si="0"/>
        <v>37011.599999999999</v>
      </c>
      <c r="G4" s="7">
        <f t="shared" si="0"/>
        <v>38767.199999999997</v>
      </c>
    </row>
    <row r="5" spans="2:10" x14ac:dyDescent="0.3">
      <c r="B5" s="6" t="s">
        <v>3</v>
      </c>
      <c r="C5" s="8">
        <f>9587</f>
        <v>9587</v>
      </c>
      <c r="D5" s="8">
        <f>9781</f>
        <v>9781</v>
      </c>
      <c r="E5" s="8">
        <f>10643</f>
        <v>10643</v>
      </c>
      <c r="F5" s="8">
        <f>11406</f>
        <v>11406</v>
      </c>
      <c r="G5" s="8">
        <f>11954</f>
        <v>11954</v>
      </c>
      <c r="I5" t="s">
        <v>4</v>
      </c>
    </row>
    <row r="6" spans="2:10" x14ac:dyDescent="0.3">
      <c r="B6" s="6" t="s">
        <v>5</v>
      </c>
      <c r="C6" s="8">
        <f>(4161+47888+83770+14474-18830-22778)-104117</f>
        <v>4568</v>
      </c>
      <c r="D6" s="8">
        <f>(4195+48857+85465+14767-18985-22966)-(4161+47888+83770+14474-18830-22778)</f>
        <v>2648</v>
      </c>
      <c r="E6" s="8">
        <f>(4566+53164+92999+16069-20664-24996)-(4195+48857+85465+14767-18985-22966)</f>
        <v>9805</v>
      </c>
      <c r="F6" s="8">
        <f>(4894+56978+99672+17222-22149-26792)-(4566+53164+92999+16069-20664-24996)</f>
        <v>8687</v>
      </c>
      <c r="G6" s="8">
        <f>(5130+59715+104460+18049-23214-28081)-(4894+56978+99672+17222-22149-26792)</f>
        <v>6234</v>
      </c>
      <c r="I6" t="s">
        <v>6</v>
      </c>
    </row>
    <row r="7" spans="2:10" x14ac:dyDescent="0.3">
      <c r="B7" s="6" t="s">
        <v>7</v>
      </c>
      <c r="C7" s="8">
        <f>11983</f>
        <v>11983</v>
      </c>
      <c r="D7" s="8">
        <v>12226</v>
      </c>
      <c r="E7" s="8">
        <v>13303</v>
      </c>
      <c r="F7" s="8">
        <v>14258</v>
      </c>
      <c r="G7" s="8">
        <v>14943</v>
      </c>
      <c r="I7" t="s">
        <v>8</v>
      </c>
    </row>
    <row r="8" spans="2:10" x14ac:dyDescent="0.3">
      <c r="B8" s="4"/>
      <c r="C8" s="3"/>
      <c r="D8" s="3"/>
      <c r="E8" s="3"/>
      <c r="F8" s="3"/>
      <c r="G8" s="3"/>
      <c r="I8" t="s">
        <v>9</v>
      </c>
    </row>
    <row r="9" spans="2:10" x14ac:dyDescent="0.3">
      <c r="B9" s="5" t="s">
        <v>10</v>
      </c>
      <c r="C9" s="14">
        <f>C4+C5-C6-C7</f>
        <v>21239</v>
      </c>
      <c r="D9" s="14">
        <f t="shared" ref="D9:G9" si="1">D4+D5-D6-D7</f>
        <v>26728.6</v>
      </c>
      <c r="E9" s="14">
        <f t="shared" si="1"/>
        <v>22098</v>
      </c>
      <c r="F9" s="14">
        <f t="shared" si="1"/>
        <v>25472.6</v>
      </c>
      <c r="G9" s="14">
        <f t="shared" si="1"/>
        <v>29544.199999999997</v>
      </c>
      <c r="I9" t="s">
        <v>11</v>
      </c>
    </row>
    <row r="11" spans="2:10" x14ac:dyDescent="0.3">
      <c r="B11" s="5" t="s">
        <v>12</v>
      </c>
      <c r="C11" s="1"/>
      <c r="D11" s="1"/>
      <c r="E11" s="1"/>
      <c r="F11" s="1"/>
      <c r="G11" s="18">
        <f>NPV(B29,C9:G9)</f>
        <v>91164.930838057058</v>
      </c>
    </row>
    <row r="13" spans="2:10" x14ac:dyDescent="0.3">
      <c r="C13" s="5" t="s">
        <v>13</v>
      </c>
      <c r="D13" s="5" t="s">
        <v>14</v>
      </c>
      <c r="E13" s="5" t="s">
        <v>15</v>
      </c>
      <c r="F13" s="5" t="s">
        <v>16</v>
      </c>
      <c r="H13" s="23" t="s">
        <v>17</v>
      </c>
      <c r="I13" s="23"/>
      <c r="J13" s="23"/>
    </row>
    <row r="14" spans="2:10" x14ac:dyDescent="0.3">
      <c r="B14" s="5" t="s">
        <v>18</v>
      </c>
      <c r="C14" s="7">
        <v>420098</v>
      </c>
      <c r="D14" s="7">
        <f>C14+125442</f>
        <v>545540</v>
      </c>
      <c r="E14" s="5">
        <v>2.68</v>
      </c>
      <c r="F14" s="9">
        <f>(C14/D14)*E14</f>
        <v>2.0637581845510873</v>
      </c>
      <c r="G14" s="13"/>
      <c r="H14" t="s">
        <v>19</v>
      </c>
    </row>
    <row r="15" spans="2:10" x14ac:dyDescent="0.3">
      <c r="B15" s="6" t="s">
        <v>20</v>
      </c>
      <c r="C15" s="8">
        <v>1205795</v>
      </c>
      <c r="D15" s="8">
        <f>C15-91559</f>
        <v>1114236</v>
      </c>
      <c r="E15" s="6">
        <v>1.94</v>
      </c>
      <c r="F15" s="10">
        <f t="shared" ref="F15:F22" si="2">(C15/D15)*E15</f>
        <v>2.0994136789692668</v>
      </c>
    </row>
    <row r="16" spans="2:10" x14ac:dyDescent="0.3">
      <c r="B16" s="6" t="s">
        <v>21</v>
      </c>
      <c r="C16" s="8">
        <v>533463</v>
      </c>
      <c r="D16" s="8">
        <f>C16+171835</f>
        <v>705298</v>
      </c>
      <c r="E16" s="6">
        <v>1.92</v>
      </c>
      <c r="F16" s="10">
        <f t="shared" si="2"/>
        <v>1.4522215574126114</v>
      </c>
    </row>
    <row r="17" spans="2:13" x14ac:dyDescent="0.3">
      <c r="B17" s="6" t="s">
        <v>22</v>
      </c>
      <c r="C17" s="8">
        <v>165560</v>
      </c>
      <c r="D17" s="8">
        <f>C17+82236</f>
        <v>247796</v>
      </c>
      <c r="E17" s="6">
        <v>1.1200000000000001</v>
      </c>
      <c r="F17" s="10">
        <f t="shared" si="2"/>
        <v>0.74830586450144476</v>
      </c>
    </row>
    <row r="18" spans="2:13" x14ac:dyDescent="0.3">
      <c r="B18" s="6" t="s">
        <v>23</v>
      </c>
      <c r="C18" s="8">
        <v>35303250</v>
      </c>
      <c r="D18" s="8">
        <f>C18+7653207</f>
        <v>42956457</v>
      </c>
      <c r="E18" s="6">
        <v>0.97</v>
      </c>
      <c r="F18" s="10">
        <f t="shared" si="2"/>
        <v>0.79718288917542712</v>
      </c>
    </row>
    <row r="19" spans="2:13" x14ac:dyDescent="0.3">
      <c r="B19" s="6" t="s">
        <v>24</v>
      </c>
      <c r="C19" s="8">
        <v>570684</v>
      </c>
      <c r="D19" s="8">
        <f>C19+195540</f>
        <v>766224</v>
      </c>
      <c r="E19" s="6">
        <v>2.13</v>
      </c>
      <c r="F19" s="10">
        <f t="shared" si="2"/>
        <v>1.5864250140950948</v>
      </c>
    </row>
    <row r="20" spans="2:13" x14ac:dyDescent="0.3">
      <c r="B20" s="6" t="s">
        <v>25</v>
      </c>
      <c r="C20" s="8">
        <v>1056033</v>
      </c>
      <c r="D20" s="8">
        <f>C20+300550</f>
        <v>1356583</v>
      </c>
      <c r="E20" s="6">
        <v>1.27</v>
      </c>
      <c r="F20" s="10">
        <f t="shared" si="2"/>
        <v>0.98863240214568515</v>
      </c>
      <c r="I20" s="2"/>
    </row>
    <row r="21" spans="2:13" x14ac:dyDescent="0.3">
      <c r="B21" s="6" t="s">
        <v>26</v>
      </c>
      <c r="C21" s="8">
        <v>1454875</v>
      </c>
      <c r="D21" s="8">
        <f>C21-97018</f>
        <v>1357857</v>
      </c>
      <c r="E21" s="6">
        <v>1.01</v>
      </c>
      <c r="F21" s="10">
        <f t="shared" si="2"/>
        <v>1.0821638434680529</v>
      </c>
    </row>
    <row r="22" spans="2:13" x14ac:dyDescent="0.3">
      <c r="B22" s="6" t="s">
        <v>27</v>
      </c>
      <c r="C22" s="8">
        <v>397709</v>
      </c>
      <c r="D22" s="8">
        <f>C22+169579</f>
        <v>567288</v>
      </c>
      <c r="E22" s="6">
        <v>0.98</v>
      </c>
      <c r="F22" s="10">
        <f t="shared" si="2"/>
        <v>0.68704929418566929</v>
      </c>
      <c r="J22" s="16"/>
    </row>
    <row r="23" spans="2:13" x14ac:dyDescent="0.3">
      <c r="B23" s="12"/>
    </row>
    <row r="25" spans="2:13" x14ac:dyDescent="0.3">
      <c r="B25" s="11" t="s">
        <v>28</v>
      </c>
      <c r="C25" s="1"/>
      <c r="D25" s="1"/>
      <c r="E25" s="9">
        <f>F25*(1+0.25)</f>
        <v>1.597937878958936</v>
      </c>
      <c r="F25" s="9">
        <f>AVERAGE(F14:F22)</f>
        <v>1.2783503031671488</v>
      </c>
      <c r="G25" t="s">
        <v>29</v>
      </c>
    </row>
    <row r="27" spans="2:13" x14ac:dyDescent="0.3">
      <c r="B27" s="4"/>
    </row>
    <row r="28" spans="2:13" x14ac:dyDescent="0.3">
      <c r="B28" s="5" t="s">
        <v>30</v>
      </c>
      <c r="D28" s="5" t="s">
        <v>31</v>
      </c>
      <c r="F28" t="s">
        <v>32</v>
      </c>
      <c r="G28" t="s">
        <v>33</v>
      </c>
    </row>
    <row r="29" spans="2:13" x14ac:dyDescent="0.3">
      <c r="B29" s="20">
        <f>(0.06*(1-0.4)*0.2)+(D29*0.8)</f>
        <v>0.11055751515835745</v>
      </c>
      <c r="D29" s="19">
        <f>4.93% + E25*(5%)</f>
        <v>0.12919689394794681</v>
      </c>
      <c r="F29" t="s">
        <v>34</v>
      </c>
    </row>
    <row r="30" spans="2:13" x14ac:dyDescent="0.3">
      <c r="B30" s="4" t="str">
        <f ca="1">_xlfn.FORMULATEXT(B29)</f>
        <v>=(0.06*(1-0.4)*0.2)+(D29*0.8)</v>
      </c>
      <c r="D30" s="4" t="str">
        <f ca="1">_xlfn.FORMULATEXT(D29)</f>
        <v>=4.93% + E25*(5%)</v>
      </c>
      <c r="L30" s="2"/>
      <c r="M30" s="4"/>
    </row>
    <row r="31" spans="2:13" x14ac:dyDescent="0.3">
      <c r="M31" s="4"/>
    </row>
    <row r="32" spans="2:13" x14ac:dyDescent="0.3">
      <c r="K32" s="4"/>
    </row>
    <row r="33" spans="2:7" x14ac:dyDescent="0.3">
      <c r="D33" t="s">
        <v>35</v>
      </c>
    </row>
    <row r="35" spans="2:7" x14ac:dyDescent="0.3">
      <c r="D35" s="4" t="s">
        <v>36</v>
      </c>
    </row>
    <row r="36" spans="2:7" x14ac:dyDescent="0.3">
      <c r="D36" s="4" t="s">
        <v>37</v>
      </c>
    </row>
    <row r="37" spans="2:7" x14ac:dyDescent="0.3">
      <c r="D37" s="4" t="s">
        <v>38</v>
      </c>
    </row>
    <row r="38" spans="2:7" x14ac:dyDescent="0.3">
      <c r="D38" s="4" t="s">
        <v>39</v>
      </c>
    </row>
    <row r="39" spans="2:7" x14ac:dyDescent="0.3">
      <c r="D39" s="4" t="s">
        <v>40</v>
      </c>
    </row>
    <row r="41" spans="2:7" x14ac:dyDescent="0.3">
      <c r="B41" s="5" t="s">
        <v>41</v>
      </c>
      <c r="G41" s="21"/>
    </row>
    <row r="42" spans="2:7" x14ac:dyDescent="0.3">
      <c r="B42" s="22">
        <f>(G9*(1+0.03))/(B29-3%)</f>
        <v>377749.06463016669</v>
      </c>
      <c r="C42" t="s">
        <v>42</v>
      </c>
      <c r="E42" t="s">
        <v>43</v>
      </c>
    </row>
    <row r="43" spans="2:7" x14ac:dyDescent="0.3">
      <c r="B43" s="4" t="str">
        <f ca="1">_xlfn.FORMULATEXT(B42)</f>
        <v>=(G9*(1+0.03))/(B29-3%)</v>
      </c>
      <c r="E43" t="s">
        <v>44</v>
      </c>
    </row>
    <row r="44" spans="2:7" x14ac:dyDescent="0.3">
      <c r="E44" t="s">
        <v>45</v>
      </c>
    </row>
    <row r="46" spans="2:7" x14ac:dyDescent="0.3">
      <c r="B46" s="5" t="s">
        <v>46</v>
      </c>
    </row>
    <row r="47" spans="2:7" x14ac:dyDescent="0.3">
      <c r="B47" s="17">
        <f>(B42*0.592)+G11</f>
        <v>314792.37709911575</v>
      </c>
      <c r="C47" t="s">
        <v>47</v>
      </c>
    </row>
    <row r="48" spans="2:7" x14ac:dyDescent="0.3">
      <c r="B48" s="4" t="str">
        <f ca="1">_xlfn.FORMULATEXT(B47)</f>
        <v>=(B42*0.592)+G11</v>
      </c>
      <c r="G48" s="15"/>
    </row>
    <row r="49" spans="4:11" x14ac:dyDescent="0.3">
      <c r="D49" t="s">
        <v>48</v>
      </c>
      <c r="K49" s="15"/>
    </row>
    <row r="50" spans="4:11" x14ac:dyDescent="0.3">
      <c r="D50" s="4" t="s">
        <v>49</v>
      </c>
    </row>
    <row r="51" spans="4:11" x14ac:dyDescent="0.3">
      <c r="D51" s="4" t="s">
        <v>50</v>
      </c>
    </row>
  </sheetData>
  <mergeCells count="1">
    <mergeCell ref="H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Andemichael, Youel</dc:creator>
  <cp:keywords/>
  <dc:description/>
  <cp:lastModifiedBy>Punit Alagappan Kasi</cp:lastModifiedBy>
  <cp:revision/>
  <dcterms:created xsi:type="dcterms:W3CDTF">2025-03-10T23:17:11Z</dcterms:created>
  <dcterms:modified xsi:type="dcterms:W3CDTF">2026-04-02T21:37:24Z</dcterms:modified>
  <cp:category/>
  <cp:contentStatus/>
</cp:coreProperties>
</file>