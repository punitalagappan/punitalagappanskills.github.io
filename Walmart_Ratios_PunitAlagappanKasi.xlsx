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nitalagappankasi/Downloads/"/>
    </mc:Choice>
  </mc:AlternateContent>
  <xr:revisionPtr revIDLastSave="0" documentId="13_ncr:1_{3275752B-5190-F442-9BB1-1D5131C3BA16}" xr6:coauthVersionLast="47" xr6:coauthVersionMax="47" xr10:uidLastSave="{00000000-0000-0000-0000-000000000000}"/>
  <bookViews>
    <workbookView xWindow="160" yWindow="660" windowWidth="14160" windowHeight="16100" firstSheet="2" activeTab="3" xr2:uid="{4002AFAD-C0A3-0E45-A7C2-8FBEFEDCF309}"/>
  </bookViews>
  <sheets>
    <sheet name="WALMART-Cash Flow Statements" sheetId="1" r:id="rId1"/>
    <sheet name="WALMART-Balance Sheet" sheetId="2" r:id="rId2"/>
    <sheet name="WALMART-Income Statement" sheetId="3" r:id="rId3"/>
    <sheet name="WALMART-Ratios " sheetId="4" r:id="rId4"/>
    <sheet name="Trend Analysis-5 Years" sheetId="7" r:id="rId5"/>
    <sheet name="WALMART-DuPont Model" sheetId="5" r:id="rId6"/>
    <sheet name="TARGET LTD, STATEMENTS &amp; DuPont" sheetId="6" r:id="rId7"/>
    <sheet name="Traget-ratios" sheetId="8" r:id="rId8"/>
    <sheet name="Sheet5" sheetId="9" r:id="rId9"/>
  </sheets>
  <definedNames>
    <definedName name="_xlchart.v2.0" hidden="1">'WALMART-Ratios '!$A$2</definedName>
    <definedName name="_xlchart.v2.1" hidden="1">'WALMART-Ratios '!$A$3</definedName>
    <definedName name="_xlchart.v2.2" hidden="1">'WALMART-Ratios '!$A$4</definedName>
    <definedName name="_xlchart.v2.3" hidden="1">'WALMART-Ratios '!$A$5</definedName>
    <definedName name="_xlchart.v2.4" hidden="1">'WALMART-Ratios '!$B$2:$F$2</definedName>
    <definedName name="_xlchart.v2.5" hidden="1">'WALMART-Ratios '!$B$3:$F$3</definedName>
    <definedName name="_xlchart.v2.6" hidden="1">'WALMART-Ratios '!$B$4:$F$4</definedName>
    <definedName name="_xlchart.v2.7" hidden="1">'WALMART-Ratios '!$B$5:$F$5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4" l="1"/>
  <c r="B58" i="4"/>
  <c r="C57" i="4"/>
  <c r="C58" i="4" s="1"/>
  <c r="D57" i="4"/>
  <c r="D58" i="4" s="1"/>
  <c r="E57" i="4"/>
  <c r="E58" i="4" s="1"/>
  <c r="F57" i="4"/>
  <c r="F58" i="4" s="1"/>
  <c r="B57" i="4"/>
  <c r="C55" i="4"/>
  <c r="D55" i="4"/>
  <c r="E55" i="4"/>
  <c r="F55" i="4"/>
  <c r="B55" i="4"/>
  <c r="C54" i="4"/>
  <c r="D54" i="4"/>
  <c r="E54" i="4"/>
  <c r="F54" i="4"/>
  <c r="B54" i="4"/>
  <c r="C53" i="4"/>
  <c r="D53" i="4"/>
  <c r="E53" i="4"/>
  <c r="F53" i="4"/>
  <c r="B53" i="4"/>
  <c r="C44" i="8"/>
  <c r="D44" i="8"/>
  <c r="E44" i="8"/>
  <c r="F44" i="8"/>
  <c r="F43" i="8"/>
  <c r="E43" i="8"/>
  <c r="D43" i="8"/>
  <c r="C43" i="8"/>
  <c r="F42" i="8"/>
  <c r="E42" i="8"/>
  <c r="D42" i="8"/>
  <c r="C42" i="8"/>
  <c r="F41" i="8"/>
  <c r="E41" i="8"/>
  <c r="D41" i="8"/>
  <c r="C41" i="8"/>
  <c r="F40" i="8"/>
  <c r="E40" i="8"/>
  <c r="D40" i="8"/>
  <c r="C40" i="8"/>
  <c r="F39" i="8"/>
  <c r="C39" i="8"/>
  <c r="D39" i="8"/>
  <c r="E39" i="8"/>
  <c r="B39" i="8"/>
  <c r="C28" i="8"/>
  <c r="D28" i="8"/>
  <c r="E28" i="8"/>
  <c r="F28" i="8"/>
  <c r="B28" i="8"/>
  <c r="C36" i="8"/>
  <c r="D36" i="8"/>
  <c r="E36" i="8"/>
  <c r="F36" i="8"/>
  <c r="B36" i="8"/>
  <c r="D35" i="8"/>
  <c r="C35" i="8"/>
  <c r="E35" i="8"/>
  <c r="F35" i="8"/>
  <c r="B35" i="8"/>
  <c r="C30" i="8"/>
  <c r="D30" i="8"/>
  <c r="E30" i="8"/>
  <c r="F30" i="8"/>
  <c r="B30" i="8"/>
  <c r="C31" i="8"/>
  <c r="D31" i="8"/>
  <c r="E31" i="8"/>
  <c r="F31" i="8"/>
  <c r="B31" i="8"/>
  <c r="C33" i="8"/>
  <c r="C34" i="8"/>
  <c r="D34" i="8"/>
  <c r="D33" i="8" s="1"/>
  <c r="E34" i="8"/>
  <c r="E33" i="8" s="1"/>
  <c r="F34" i="8"/>
  <c r="F33" i="8" s="1"/>
  <c r="B34" i="8"/>
  <c r="B33" i="8" s="1"/>
  <c r="H49" i="8" a="1"/>
  <c r="H47" i="8" a="1"/>
  <c r="H45" i="8" a="1"/>
  <c r="H43" i="8" a="1"/>
  <c r="H40" i="8" a="1"/>
  <c r="B43" i="8" l="1"/>
  <c r="B44" i="8" s="1"/>
  <c r="B42" i="8"/>
  <c r="B41" i="8"/>
  <c r="B40" i="8"/>
  <c r="H49" i="8"/>
  <c r="H47" i="8"/>
  <c r="H45" i="8"/>
  <c r="H43" i="8"/>
  <c r="H40" i="8"/>
  <c r="C18" i="8"/>
  <c r="D18" i="8"/>
  <c r="B18" i="8"/>
  <c r="B13" i="8"/>
  <c r="C32" i="8"/>
  <c r="D32" i="8"/>
  <c r="E32" i="8"/>
  <c r="E18" i="8" s="1"/>
  <c r="F32" i="8"/>
  <c r="F18" i="8" s="1"/>
  <c r="B32" i="8"/>
  <c r="C17" i="8"/>
  <c r="D17" i="8"/>
  <c r="E17" i="8"/>
  <c r="F17" i="8"/>
  <c r="B17" i="8"/>
  <c r="C16" i="8"/>
  <c r="D16" i="8"/>
  <c r="B16" i="8"/>
  <c r="C27" i="8"/>
  <c r="D27" i="8"/>
  <c r="E27" i="8"/>
  <c r="F27" i="8"/>
  <c r="B27" i="8"/>
  <c r="C26" i="8"/>
  <c r="D26" i="8"/>
  <c r="E26" i="8"/>
  <c r="F26" i="8"/>
  <c r="B26" i="8"/>
  <c r="C22" i="8"/>
  <c r="D22" i="8"/>
  <c r="E22" i="8"/>
  <c r="F22" i="8"/>
  <c r="B22" i="8"/>
  <c r="C21" i="8"/>
  <c r="D21" i="8"/>
  <c r="E21" i="8"/>
  <c r="F21" i="8"/>
  <c r="B21" i="8"/>
  <c r="C15" i="8"/>
  <c r="D15" i="8"/>
  <c r="E15" i="8"/>
  <c r="F15" i="8"/>
  <c r="B15" i="8"/>
  <c r="C14" i="8"/>
  <c r="D14" i="8"/>
  <c r="E14" i="8"/>
  <c r="F14" i="8"/>
  <c r="B14" i="8"/>
  <c r="C13" i="8"/>
  <c r="D13" i="8"/>
  <c r="E13" i="8"/>
  <c r="F13" i="8"/>
  <c r="C10" i="8"/>
  <c r="D10" i="8"/>
  <c r="E10" i="8"/>
  <c r="F10" i="8"/>
  <c r="B10" i="8"/>
  <c r="C9" i="8"/>
  <c r="D9" i="8"/>
  <c r="E9" i="8"/>
  <c r="F9" i="8"/>
  <c r="B9" i="8"/>
  <c r="C8" i="8"/>
  <c r="D8" i="8"/>
  <c r="E8" i="8"/>
  <c r="F8" i="8"/>
  <c r="B8" i="8"/>
  <c r="C7" i="8"/>
  <c r="D7" i="8"/>
  <c r="D23" i="8" s="1"/>
  <c r="E7" i="8"/>
  <c r="E23" i="8" s="1"/>
  <c r="F7" i="8"/>
  <c r="F23" i="8" s="1"/>
  <c r="B7" i="8"/>
  <c r="C4" i="8"/>
  <c r="D4" i="8"/>
  <c r="E4" i="8"/>
  <c r="F4" i="8"/>
  <c r="B4" i="8"/>
  <c r="C3" i="8"/>
  <c r="D3" i="8"/>
  <c r="E3" i="8"/>
  <c r="F3" i="8"/>
  <c r="B3" i="8"/>
  <c r="C2" i="8"/>
  <c r="D2" i="8"/>
  <c r="E2" i="8"/>
  <c r="F2" i="8"/>
  <c r="B2" i="8"/>
  <c r="C46" i="6"/>
  <c r="D46" i="6"/>
  <c r="E46" i="6"/>
  <c r="F46" i="6"/>
  <c r="B46" i="6"/>
  <c r="B10" i="5"/>
  <c r="C45" i="6"/>
  <c r="D45" i="6"/>
  <c r="E45" i="6"/>
  <c r="F45" i="6"/>
  <c r="B45" i="6"/>
  <c r="C44" i="6"/>
  <c r="D44" i="6"/>
  <c r="E44" i="6"/>
  <c r="F44" i="6"/>
  <c r="B44" i="6"/>
  <c r="C43" i="6"/>
  <c r="D43" i="6"/>
  <c r="E43" i="6"/>
  <c r="F43" i="6"/>
  <c r="B43" i="6"/>
  <c r="C10" i="5"/>
  <c r="D10" i="5"/>
  <c r="E10" i="5"/>
  <c r="F10" i="5"/>
  <c r="F9" i="5"/>
  <c r="C9" i="5"/>
  <c r="D9" i="5"/>
  <c r="E9" i="5"/>
  <c r="C8" i="5"/>
  <c r="D8" i="5"/>
  <c r="E8" i="5"/>
  <c r="F8" i="5"/>
  <c r="C7" i="5"/>
  <c r="D7" i="5"/>
  <c r="E7" i="5"/>
  <c r="F7" i="5"/>
  <c r="B9" i="5"/>
  <c r="B7" i="5"/>
  <c r="B8" i="5"/>
  <c r="C23" i="8" l="1"/>
  <c r="F16" i="8"/>
  <c r="B23" i="8"/>
  <c r="E16" i="8"/>
  <c r="F38" i="4" l="1"/>
  <c r="F39" i="4"/>
  <c r="F40" i="4" s="1"/>
  <c r="C37" i="4"/>
  <c r="D37" i="4"/>
  <c r="E37" i="4"/>
  <c r="F37" i="4"/>
  <c r="B37" i="4"/>
  <c r="C35" i="4"/>
  <c r="D35" i="4"/>
  <c r="E35" i="4"/>
  <c r="F35" i="4"/>
  <c r="B35" i="4"/>
  <c r="C19" i="4"/>
  <c r="D19" i="4"/>
  <c r="E19" i="4"/>
  <c r="F19" i="4"/>
  <c r="B19" i="4"/>
  <c r="B17" i="4"/>
  <c r="C18" i="4"/>
  <c r="D18" i="4"/>
  <c r="E18" i="4"/>
  <c r="F18" i="4"/>
  <c r="B18" i="4"/>
  <c r="C17" i="4"/>
  <c r="D17" i="4"/>
  <c r="E17" i="4"/>
  <c r="F17" i="4"/>
  <c r="B15" i="4"/>
  <c r="C15" i="4"/>
  <c r="D15" i="4"/>
  <c r="E15" i="4"/>
  <c r="F15" i="4"/>
  <c r="C14" i="4"/>
  <c r="D14" i="4"/>
  <c r="E14" i="4"/>
  <c r="F14" i="4"/>
  <c r="B14" i="4"/>
  <c r="C32" i="4"/>
  <c r="C16" i="4" s="1"/>
  <c r="D32" i="4"/>
  <c r="D16" i="4" s="1"/>
  <c r="E32" i="4"/>
  <c r="E16" i="4" s="1"/>
  <c r="F32" i="4"/>
  <c r="F16" i="4" s="1"/>
  <c r="B32" i="4"/>
  <c r="B16" i="4" s="1"/>
  <c r="C31" i="4"/>
  <c r="C56" i="4" s="1"/>
  <c r="D31" i="4"/>
  <c r="D56" i="4" s="1"/>
  <c r="E31" i="4"/>
  <c r="E56" i="4" s="1"/>
  <c r="F31" i="4"/>
  <c r="F56" i="4" s="1"/>
  <c r="B31" i="4"/>
  <c r="C28" i="4"/>
  <c r="D28" i="4"/>
  <c r="E28" i="4"/>
  <c r="F28" i="4"/>
  <c r="B28" i="4"/>
  <c r="C27" i="4"/>
  <c r="D27" i="4"/>
  <c r="E27" i="4"/>
  <c r="F27" i="4"/>
  <c r="C10" i="4"/>
  <c r="D10" i="4"/>
  <c r="E10" i="4"/>
  <c r="F10" i="4"/>
  <c r="B10" i="4"/>
  <c r="C23" i="4"/>
  <c r="D23" i="4"/>
  <c r="E23" i="4"/>
  <c r="F23" i="4"/>
  <c r="B23" i="4"/>
  <c r="C22" i="4"/>
  <c r="D22" i="4"/>
  <c r="E22" i="4"/>
  <c r="F22" i="4"/>
  <c r="B22" i="4"/>
  <c r="C11" i="4"/>
  <c r="D11" i="4"/>
  <c r="E11" i="4"/>
  <c r="F11" i="4"/>
  <c r="B11" i="4"/>
  <c r="C9" i="4"/>
  <c r="D9" i="4"/>
  <c r="E9" i="4"/>
  <c r="F9" i="4"/>
  <c r="B9" i="4"/>
  <c r="C8" i="4"/>
  <c r="D8" i="4"/>
  <c r="E8" i="4"/>
  <c r="F8" i="4"/>
  <c r="C5" i="4"/>
  <c r="D5" i="4"/>
  <c r="E5" i="4"/>
  <c r="F5" i="4"/>
  <c r="C4" i="4"/>
  <c r="D4" i="4"/>
  <c r="E4" i="4"/>
  <c r="F4" i="4"/>
  <c r="C3" i="4"/>
  <c r="D3" i="4"/>
  <c r="E3" i="4"/>
  <c r="F3" i="4"/>
  <c r="B8" i="4"/>
  <c r="B5" i="4"/>
  <c r="B4" i="4"/>
  <c r="B3" i="4"/>
  <c r="B50" i="4" a="1"/>
  <c r="B48" i="4" a="1"/>
  <c r="B46" i="4" a="1"/>
  <c r="B44" i="4" a="1"/>
  <c r="B42" i="4" a="1"/>
  <c r="B56" i="4" l="1"/>
  <c r="B29" i="4"/>
  <c r="D29" i="4"/>
  <c r="C29" i="4"/>
  <c r="C38" i="4"/>
  <c r="C39" i="4"/>
  <c r="C40" i="4" s="1"/>
  <c r="D38" i="4"/>
  <c r="D39" i="4"/>
  <c r="D40" i="4" s="1"/>
  <c r="E38" i="4"/>
  <c r="E39" i="4"/>
  <c r="E40" i="4" s="1"/>
  <c r="F29" i="4"/>
  <c r="D24" i="4"/>
  <c r="B38" i="4"/>
  <c r="B39" i="4"/>
  <c r="B40" i="4" s="1"/>
  <c r="C36" i="4"/>
  <c r="E36" i="4"/>
  <c r="D36" i="4"/>
  <c r="F24" i="4"/>
  <c r="C24" i="4"/>
  <c r="B24" i="4"/>
  <c r="F36" i="4"/>
  <c r="E24" i="4"/>
  <c r="E29" i="4"/>
  <c r="B36" i="4"/>
  <c r="B50" i="4"/>
  <c r="B48" i="4"/>
  <c r="B46" i="4"/>
  <c r="B44" i="4"/>
  <c r="B4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</futureMetadata>
  <cellMetadata count="1">
    <bk>
      <rc t="1" v="0"/>
    </bk>
  </cellMetadata>
  <valueMetadata count="1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</valueMetadata>
</metadata>
</file>

<file path=xl/sharedStrings.xml><?xml version="1.0" encoding="utf-8"?>
<sst xmlns="http://schemas.openxmlformats.org/spreadsheetml/2006/main" count="294" uniqueCount="220">
  <si>
    <t>(Amounts in millions)</t>
  </si>
  <si>
    <t>Cash flows from operating activities: Consolidated net income Adjustments to reconcile consolidated net income to net cash provided by operating activities:</t>
  </si>
  <si>
    <t>$</t>
  </si>
  <si>
    <t>Depreciation and amortization</t>
  </si>
  <si>
    <t>Net unrealized and realized (gains) and losses</t>
  </si>
  <si>
    <t>Losses on disposal of business operations</t>
  </si>
  <si>
    <t>Deferred income taxes</t>
  </si>
  <si>
    <t>Loss on extinguishment of debt</t>
  </si>
  <si>
    <t>Other operating activities Changes in certain assets and liabilities, net of effects of acquisitions and dispositions:</t>
  </si>
  <si>
    <t>Receivables, net</t>
  </si>
  <si>
    <t>Inventories</t>
  </si>
  <si>
    <t>Accounts payable</t>
  </si>
  <si>
    <t>Accrued liabilities</t>
  </si>
  <si>
    <t>Accrued income taxes</t>
  </si>
  <si>
    <t>Net cash provided by operating activities</t>
  </si>
  <si>
    <t>Cash flows from investing activities: Payments for property and equipment</t>
  </si>
  <si>
    <t>Proceeds from the disposal of property and equipment</t>
  </si>
  <si>
    <t>Proceeds from disposal of certain operations, net of divested cash</t>
  </si>
  <si>
    <t>Payments for business acquisitions, net of cash acquired</t>
  </si>
  <si>
    <t>Other investing activities</t>
  </si>
  <si>
    <t>Net cash used in investing activities</t>
  </si>
  <si>
    <t>Cash flows from financing activities: Net change in short-term borrowings</t>
  </si>
  <si>
    <t>Proceeds from issuance of long-term debt</t>
  </si>
  <si>
    <t>Repayments of long-term debt</t>
  </si>
  <si>
    <t>Premiums paid to extinguish debt</t>
  </si>
  <si>
    <t>Dividends paid</t>
  </si>
  <si>
    <t>Purchase of Company stock</t>
  </si>
  <si>
    <t>Dividends paid to noncontrolling interest</t>
  </si>
  <si>
    <t>Purchase of noncontrolling interest</t>
  </si>
  <si>
    <t>Sale of subsidiary stock</t>
  </si>
  <si>
    <t>Other financing activities</t>
  </si>
  <si>
    <t>Net cash used in financing activities</t>
  </si>
  <si>
    <t>Effect of exchange rates on cash, cash equivalents and restricted cash</t>
  </si>
  <si>
    <t>Net increase (decrease) in cash, cash equivalents and restricted cash</t>
  </si>
  <si>
    <t>Change in cash and cash equivalents reclassified from assets held for sale</t>
  </si>
  <si>
    <t>Cash, cash equivalents and restricted cash at beginning of year</t>
  </si>
  <si>
    <t>Cash, cash equivalents and restricted cash at end of year</t>
  </si>
  <si>
    <t>Walmart Inc. Consolidated Balance Sheets</t>
  </si>
  <si>
    <t>As of January 31,</t>
  </si>
  <si>
    <t>(Amounts in millions) ASSETS</t>
  </si>
  <si>
    <t>Current assets: Cash and cash equivalents</t>
  </si>
  <si>
    <t>Prepaid expenses and other</t>
  </si>
  <si>
    <t>Total current assets</t>
  </si>
  <si>
    <t>Property and equipment, net</t>
  </si>
  <si>
    <t>Operating lease right-of-use assets</t>
  </si>
  <si>
    <t>Finance lease right-of-use assets, net</t>
  </si>
  <si>
    <t>Goodwill</t>
  </si>
  <si>
    <t>Other long-term assets</t>
  </si>
  <si>
    <t>Total assets</t>
  </si>
  <si>
    <t>LIABILITIES, REDEEMABLE NONCONTROLLING INTEREST, AND EQUITY Current liabilities: Short-term borrowings</t>
  </si>
  <si>
    <t>Long-term debt due within one year</t>
  </si>
  <si>
    <t>Operating lease obligations due within one year</t>
  </si>
  <si>
    <t>Finance lease obligations due within one year</t>
  </si>
  <si>
    <t>Total current liabilities</t>
  </si>
  <si>
    <t>Long-term debt</t>
  </si>
  <si>
    <t>Long-term operating lease obligations</t>
  </si>
  <si>
    <t>Long-term finance lease obligations</t>
  </si>
  <si>
    <t>Deferred income taxes and other</t>
  </si>
  <si>
    <t>Commitments and contingencies Redeemable noncontrolling interest</t>
  </si>
  <si>
    <t>Equity: Common stock</t>
  </si>
  <si>
    <t>Capital in excess of par value</t>
  </si>
  <si>
    <t>Retained earnings</t>
  </si>
  <si>
    <t>Accumulated other comprehensive loss</t>
  </si>
  <si>
    <t>Total Walrnart shareholders' equity</t>
  </si>
  <si>
    <t>Noncontrolling interest</t>
  </si>
  <si>
    <t>Total equity</t>
  </si>
  <si>
    <t>Total liabilities, redeemable noncontrolling interest, and equity</t>
  </si>
  <si>
    <t>Walmart Inc.</t>
  </si>
  <si>
    <t>Consolidated Statements of Income</t>
  </si>
  <si>
    <t>(Amounts in millions, except per share data) Revenues:</t>
  </si>
  <si>
    <t>Net sales</t>
  </si>
  <si>
    <t>Membership and other income</t>
  </si>
  <si>
    <t>Total revenues Costs and expenses:</t>
  </si>
  <si>
    <t>Cost of sales</t>
  </si>
  <si>
    <t>Operating, selling, general and administrative expenses</t>
  </si>
  <si>
    <t>Operating income Interest:</t>
  </si>
  <si>
    <t>Debt</t>
  </si>
  <si>
    <t>Finance lease</t>
  </si>
  <si>
    <t>Interest income</t>
  </si>
  <si>
    <t>Interest, net</t>
  </si>
  <si>
    <t>Other (gains) and losses</t>
  </si>
  <si>
    <t>Income before income taxes</t>
  </si>
  <si>
    <t>Provision for income taxes</t>
  </si>
  <si>
    <t>Consolidated net income</t>
  </si>
  <si>
    <t>Consolidated net (income) loss attributable to noncontrolling interest</t>
  </si>
  <si>
    <t>Consolidated net income attributable to Walmart</t>
  </si>
  <si>
    <t>Net income per common share: Basic net income per common share attributable to Walrnart</t>
  </si>
  <si>
    <t>Diluted net income per common share attributable to Walmart</t>
  </si>
  <si>
    <t>Weighted-average common shares outstanding: Basic</t>
  </si>
  <si>
    <t>Diluted</t>
  </si>
  <si>
    <t>Dividends declared per common share See accompanying notes.</t>
  </si>
  <si>
    <t>Profitability</t>
  </si>
  <si>
    <t>Gross Profit Margin= gross profit/ sales</t>
  </si>
  <si>
    <t xml:space="preserve">Operating Profit Margin = Operating profit/ sales </t>
  </si>
  <si>
    <t xml:space="preserve">Net Profit Margin = net profit/ sales </t>
  </si>
  <si>
    <t>Efficiency</t>
  </si>
  <si>
    <t>AR Days on Hand= (AR/Sales)*365</t>
  </si>
  <si>
    <t>Inventory Days on Hand= (Inventory/COGS)*365</t>
  </si>
  <si>
    <t>Asset Turnover = Sales/ Total Assets</t>
  </si>
  <si>
    <t xml:space="preserve">Leverage </t>
  </si>
  <si>
    <t>Debt/ Equity</t>
  </si>
  <si>
    <t>Liabilities/ Equity</t>
  </si>
  <si>
    <t>LTD/ Total Captial = LTD/(STD+LTD+SE)</t>
  </si>
  <si>
    <t>Debt/ EBITDA</t>
  </si>
  <si>
    <t xml:space="preserve">Times Interest Earned </t>
  </si>
  <si>
    <t>FCCR= (EBITDA + Rent)/(Rent + Interest Expense)</t>
  </si>
  <si>
    <t>Liquidity</t>
  </si>
  <si>
    <t xml:space="preserve">Current Ratio= Current asset/ Current liabilities </t>
  </si>
  <si>
    <t>Quick Ratio= (Current assets-inventory)/Current Liabilities</t>
  </si>
  <si>
    <t>Returns</t>
  </si>
  <si>
    <t>ROE= NI/ SE</t>
  </si>
  <si>
    <t>ROA= NI/ Total Assets</t>
  </si>
  <si>
    <t xml:space="preserve">ROC= NOPAT/ Captial </t>
  </si>
  <si>
    <t>AP Days on Hand= (AP*365)/COGS</t>
  </si>
  <si>
    <t>Cash Conversion Cycle= DSO+DIO-DPO</t>
  </si>
  <si>
    <t xml:space="preserve">Tax Rate </t>
  </si>
  <si>
    <t xml:space="preserve">Invested Captial </t>
  </si>
  <si>
    <t xml:space="preserve">Market Metrics </t>
  </si>
  <si>
    <t xml:space="preserve">EPS = NI/ Share Outstanding </t>
  </si>
  <si>
    <t>PE= Price-to-Earnings</t>
  </si>
  <si>
    <t>PB= Price-to-Book</t>
  </si>
  <si>
    <t>Dividend Yield</t>
  </si>
  <si>
    <t xml:space="preserve">Market Capitalization </t>
  </si>
  <si>
    <t>EV/EBITDA</t>
  </si>
  <si>
    <t xml:space="preserve">Stock prices </t>
  </si>
  <si>
    <t>x</t>
  </si>
  <si>
    <t>leverage</t>
  </si>
  <si>
    <t>=</t>
  </si>
  <si>
    <t>Retun</t>
  </si>
  <si>
    <t>Net Income/Sales</t>
  </si>
  <si>
    <t>Sales/Total Assets</t>
  </si>
  <si>
    <t xml:space="preserve">Total Assets/ Equity </t>
  </si>
  <si>
    <t>Income/Equity</t>
  </si>
  <si>
    <t xml:space="preserve">DuPont Model </t>
  </si>
  <si>
    <t xml:space="preserve">Walmart DuPont </t>
  </si>
  <si>
    <t>LEVERAGE</t>
  </si>
  <si>
    <t>EFFICIENCY</t>
  </si>
  <si>
    <t>PROFITABILITY</t>
  </si>
  <si>
    <t>RETURN(ROE)</t>
  </si>
  <si>
    <t>(millions, except footnotes) Assets</t>
  </si>
  <si>
    <t>Cash and cash equivalents</t>
  </si>
  <si>
    <t>4,762 $</t>
  </si>
  <si>
    <t>Inventory</t>
  </si>
  <si>
    <t>Other current assets</t>
  </si>
  <si>
    <t>Property and equipment Land</t>
  </si>
  <si>
    <t>Buildings and improvements</t>
  </si>
  <si>
    <t>Fixtures and equipment</t>
  </si>
  <si>
    <t>Computer hardware and software</t>
  </si>
  <si>
    <t>Construction-in-progress</t>
  </si>
  <si>
    <t>Accumulated depreciation</t>
  </si>
  <si>
    <t>Operating lease assets</t>
  </si>
  <si>
    <t>Other noncurrent assets</t>
  </si>
  <si>
    <t>Liabilities and shareholders' investment Accounts payable</t>
  </si>
  <si>
    <t>Accrued and other current liabilities</t>
  </si>
  <si>
    <t>Current portion of long-term debt and other borrowings</t>
  </si>
  <si>
    <t>Long-term debt and other borrowings</t>
  </si>
  <si>
    <t>Noncurrent operating lease liabilities</t>
  </si>
  <si>
    <t>Other noncurrent liabilities</t>
  </si>
  <si>
    <t>Total noncurrent liabilities Shareholders' investment</t>
  </si>
  <si>
    <t>Common stock</t>
  </si>
  <si>
    <t>Additional paid-in capital</t>
  </si>
  <si>
    <t>Total shareholders' investment</t>
  </si>
  <si>
    <t>Total liabilities and shareholders' investment</t>
  </si>
  <si>
    <t xml:space="preserve">Balance sheet </t>
  </si>
  <si>
    <t>Consolidated Statements of Cash Flows</t>
  </si>
  <si>
    <t>(millions)</t>
  </si>
  <si>
    <t>Operating activities Net earnings Adjustments to reconcile net earnings to cash provided by operations:</t>
  </si>
  <si>
    <t>4,091 $</t>
  </si>
  <si>
    <t>4,138 $</t>
  </si>
  <si>
    <t>Share-based compensation expense</t>
  </si>
  <si>
    <t>Noncash losses / (gains) and other, net</t>
  </si>
  <si>
    <t>Changes in operating accounts: Inventory</t>
  </si>
  <si>
    <t>Other assets</t>
  </si>
  <si>
    <t>Accrued and other liabilities</t>
  </si>
  <si>
    <t>Cash provided by operating activities</t>
  </si>
  <si>
    <t>Investing activities Expenditures for property and equipment</t>
  </si>
  <si>
    <t>Proceeds from disposal of property and equipment</t>
  </si>
  <si>
    <t>Other investments</t>
  </si>
  <si>
    <t>Cash required for investing activities</t>
  </si>
  <si>
    <t>Financing activities Additions to long-term debt</t>
  </si>
  <si>
    <t>Reductions of long-term debt</t>
  </si>
  <si>
    <t>Repurchase of stock</t>
  </si>
  <si>
    <t>Shares withheld for taxes on share-based compensation</t>
  </si>
  <si>
    <t>Stock option exercises</t>
  </si>
  <si>
    <t>Cash required for financing activities</t>
  </si>
  <si>
    <t>Net increase / (decrease) in cash and cash equivalents</t>
  </si>
  <si>
    <t>Cash and cash equivalents at beginning of period</t>
  </si>
  <si>
    <t>Cash and cash equivalents at end of period</t>
  </si>
  <si>
    <t>3,805 $</t>
  </si>
  <si>
    <t>Supplemental information Interest paid, net of capitalized interest</t>
  </si>
  <si>
    <t>615 $</t>
  </si>
  <si>
    <t>605 $</t>
  </si>
  <si>
    <t>Income taxes paid</t>
  </si>
  <si>
    <t>Leased assets obtained in exchange for new finance lease liabilities</t>
  </si>
  <si>
    <t>Leased assets obtained in exchange for new operating lease liabilities</t>
  </si>
  <si>
    <t>(millions, except per share data)</t>
  </si>
  <si>
    <t>Selling, general, and administrative expenses</t>
  </si>
  <si>
    <t>Depreciation and amortization (exclusive of depreciation included in cost of sales)</t>
  </si>
  <si>
    <t>Operating income</t>
  </si>
  <si>
    <t>Net interest expense</t>
  </si>
  <si>
    <t>Net other income</t>
  </si>
  <si>
    <t>Earnings before income taxes</t>
  </si>
  <si>
    <t>Net earnings</t>
  </si>
  <si>
    <t>Basic earnings per share</t>
  </si>
  <si>
    <t>Diluted earnings per share Weighted average common shares outstanding</t>
  </si>
  <si>
    <t>Basic</t>
  </si>
  <si>
    <t>Antidilutive shares</t>
  </si>
  <si>
    <t xml:space="preserve">Income Statement </t>
  </si>
  <si>
    <t>Dupont Model</t>
  </si>
  <si>
    <t>RETURNS(ROE)</t>
  </si>
  <si>
    <t>Gain on Dermstore sale</t>
  </si>
  <si>
    <t>Proceeds from Dermstore sale</t>
  </si>
  <si>
    <t>EBITDA</t>
  </si>
  <si>
    <t>NOPAT</t>
  </si>
  <si>
    <t xml:space="preserve">Tax rate </t>
  </si>
  <si>
    <t xml:space="preserve">EBIT </t>
  </si>
  <si>
    <t xml:space="preserve">Net Income </t>
  </si>
  <si>
    <t>CFFO</t>
  </si>
  <si>
    <t>FCF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</si>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</sst>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#,##0.0"/>
    <numFmt numFmtId="171" formatCode="0.000000"/>
    <numFmt numFmtId="173" formatCode="0.0000"/>
    <numFmt numFmtId="174" formatCode="0.000"/>
    <numFmt numFmtId="177" formatCode="0.000%"/>
  </numFmts>
  <fonts count="1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6"/>
      <color theme="1"/>
      <name val="Aptos Narrow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name val="Aptos Narrow"/>
      <scheme val="minor"/>
    </font>
    <font>
      <b/>
      <i/>
      <sz val="12"/>
      <color theme="1"/>
      <name val="Aptos Narrow"/>
      <scheme val="minor"/>
    </font>
    <font>
      <b/>
      <i/>
      <sz val="14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6"/>
      <color theme="1"/>
      <name val="Aptos Narrow"/>
      <scheme val="minor"/>
    </font>
    <font>
      <i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8">
    <xf numFmtId="0" fontId="0" fillId="0" borderId="0" xfId="0"/>
    <xf numFmtId="3" fontId="0" fillId="0" borderId="0" xfId="0" applyNumberFormat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164" fontId="0" fillId="0" borderId="0" xfId="1" applyNumberFormat="1" applyFont="1"/>
    <xf numFmtId="3" fontId="4" fillId="2" borderId="0" xfId="0" applyNumberFormat="1" applyFont="1" applyFill="1"/>
    <xf numFmtId="3" fontId="0" fillId="2" borderId="0" xfId="0" applyNumberFormat="1" applyFill="1"/>
    <xf numFmtId="0" fontId="4" fillId="0" borderId="0" xfId="0" applyFont="1"/>
    <xf numFmtId="0" fontId="4" fillId="0" borderId="1" xfId="0" applyFont="1" applyFill="1" applyBorder="1"/>
    <xf numFmtId="0" fontId="4" fillId="2" borderId="0" xfId="0" applyFont="1" applyFill="1"/>
    <xf numFmtId="3" fontId="6" fillId="2" borderId="0" xfId="0" applyNumberFormat="1" applyFont="1" applyFill="1"/>
    <xf numFmtId="3" fontId="5" fillId="0" borderId="0" xfId="0" applyNumberFormat="1" applyFont="1" applyFill="1"/>
    <xf numFmtId="4" fontId="0" fillId="0" borderId="0" xfId="0" applyNumberFormat="1"/>
    <xf numFmtId="4" fontId="5" fillId="0" borderId="0" xfId="0" applyNumberFormat="1" applyFont="1" applyFill="1"/>
    <xf numFmtId="0" fontId="4" fillId="0" borderId="1" xfId="0" applyFont="1" applyBorder="1"/>
    <xf numFmtId="0" fontId="6" fillId="0" borderId="1" xfId="0" applyFont="1" applyBorder="1"/>
    <xf numFmtId="0" fontId="0" fillId="2" borderId="0" xfId="0" applyFill="1"/>
    <xf numFmtId="10" fontId="0" fillId="0" borderId="5" xfId="1" applyNumberFormat="1" applyFont="1" applyBorder="1"/>
    <xf numFmtId="10" fontId="0" fillId="0" borderId="0" xfId="1" applyNumberFormat="1" applyFont="1" applyBorder="1"/>
    <xf numFmtId="10" fontId="0" fillId="0" borderId="6" xfId="1" applyNumberFormat="1" applyFont="1" applyBorder="1"/>
    <xf numFmtId="164" fontId="0" fillId="0" borderId="0" xfId="1" applyNumberFormat="1" applyFont="1" applyBorder="1"/>
    <xf numFmtId="164" fontId="0" fillId="0" borderId="6" xfId="1" applyNumberFormat="1" applyFont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2" fontId="0" fillId="0" borderId="5" xfId="0" applyNumberFormat="1" applyBorder="1"/>
    <xf numFmtId="2" fontId="0" fillId="0" borderId="0" xfId="0" applyNumberFormat="1" applyBorder="1"/>
    <xf numFmtId="2" fontId="0" fillId="0" borderId="6" xfId="0" applyNumberFormat="1" applyBorder="1"/>
    <xf numFmtId="10" fontId="0" fillId="0" borderId="7" xfId="1" applyNumberFormat="1" applyFont="1" applyBorder="1"/>
    <xf numFmtId="10" fontId="0" fillId="0" borderId="8" xfId="1" applyNumberFormat="1" applyFont="1" applyBorder="1"/>
    <xf numFmtId="10" fontId="0" fillId="0" borderId="9" xfId="1" applyNumberFormat="1" applyFont="1" applyBorder="1"/>
    <xf numFmtId="10" fontId="8" fillId="0" borderId="13" xfId="1" applyNumberFormat="1" applyFont="1" applyBorder="1"/>
    <xf numFmtId="164" fontId="8" fillId="0" borderId="13" xfId="1" applyNumberFormat="1" applyFont="1" applyBorder="1"/>
    <xf numFmtId="0" fontId="8" fillId="0" borderId="13" xfId="0" applyFont="1" applyBorder="1"/>
    <xf numFmtId="2" fontId="8" fillId="0" borderId="13" xfId="0" applyNumberFormat="1" applyFont="1" applyBorder="1"/>
    <xf numFmtId="2" fontId="8" fillId="0" borderId="13" xfId="1" applyNumberFormat="1" applyFont="1" applyBorder="1"/>
    <xf numFmtId="4" fontId="8" fillId="0" borderId="13" xfId="0" applyNumberFormat="1" applyFont="1" applyBorder="1"/>
    <xf numFmtId="165" fontId="8" fillId="0" borderId="13" xfId="0" applyNumberFormat="1" applyFont="1" applyBorder="1"/>
    <xf numFmtId="174" fontId="8" fillId="0" borderId="13" xfId="0" applyNumberFormat="1" applyFont="1" applyBorder="1"/>
    <xf numFmtId="10" fontId="8" fillId="0" borderId="20" xfId="1" applyNumberFormat="1" applyFont="1" applyBorder="1"/>
    <xf numFmtId="10" fontId="8" fillId="0" borderId="21" xfId="1" applyNumberFormat="1" applyFont="1" applyBorder="1"/>
    <xf numFmtId="164" fontId="8" fillId="0" borderId="20" xfId="1" applyNumberFormat="1" applyFont="1" applyBorder="1"/>
    <xf numFmtId="164" fontId="8" fillId="0" borderId="21" xfId="1" applyNumberFormat="1" applyFont="1" applyBorder="1"/>
    <xf numFmtId="0" fontId="8" fillId="0" borderId="20" xfId="0" applyFont="1" applyBorder="1"/>
    <xf numFmtId="0" fontId="8" fillId="0" borderId="21" xfId="0" applyFont="1" applyBorder="1"/>
    <xf numFmtId="2" fontId="8" fillId="0" borderId="20" xfId="0" applyNumberFormat="1" applyFont="1" applyBorder="1"/>
    <xf numFmtId="2" fontId="8" fillId="0" borderId="21" xfId="0" applyNumberFormat="1" applyFont="1" applyBorder="1"/>
    <xf numFmtId="2" fontId="8" fillId="0" borderId="20" xfId="1" applyNumberFormat="1" applyFont="1" applyBorder="1"/>
    <xf numFmtId="2" fontId="8" fillId="0" borderId="21" xfId="1" applyNumberFormat="1" applyFont="1" applyBorder="1"/>
    <xf numFmtId="4" fontId="8" fillId="0" borderId="20" xfId="0" applyNumberFormat="1" applyFont="1" applyBorder="1"/>
    <xf numFmtId="4" fontId="8" fillId="0" borderId="21" xfId="0" applyNumberFormat="1" applyFont="1" applyBorder="1"/>
    <xf numFmtId="165" fontId="8" fillId="0" borderId="20" xfId="0" applyNumberFormat="1" applyFont="1" applyBorder="1"/>
    <xf numFmtId="165" fontId="8" fillId="0" borderId="21" xfId="0" applyNumberFormat="1" applyFont="1" applyBorder="1"/>
    <xf numFmtId="174" fontId="8" fillId="0" borderId="20" xfId="0" applyNumberFormat="1" applyFont="1" applyBorder="1"/>
    <xf numFmtId="174" fontId="8" fillId="0" borderId="21" xfId="0" applyNumberFormat="1" applyFont="1" applyBorder="1"/>
    <xf numFmtId="10" fontId="8" fillId="0" borderId="22" xfId="1" applyNumberFormat="1" applyFont="1" applyBorder="1"/>
    <xf numFmtId="10" fontId="8" fillId="0" borderId="23" xfId="1" applyNumberFormat="1" applyFont="1" applyBorder="1"/>
    <xf numFmtId="10" fontId="8" fillId="0" borderId="24" xfId="1" applyNumberFormat="1" applyFont="1" applyBorder="1"/>
    <xf numFmtId="0" fontId="0" fillId="0" borderId="13" xfId="0" applyBorder="1"/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1" fontId="8" fillId="0" borderId="20" xfId="0" applyNumberFormat="1" applyFont="1" applyBorder="1"/>
    <xf numFmtId="1" fontId="8" fillId="0" borderId="13" xfId="0" applyNumberFormat="1" applyFont="1" applyBorder="1"/>
    <xf numFmtId="1" fontId="8" fillId="0" borderId="21" xfId="0" applyNumberFormat="1" applyFont="1" applyBorder="1"/>
    <xf numFmtId="1" fontId="8" fillId="0" borderId="22" xfId="0" applyNumberFormat="1" applyFont="1" applyBorder="1"/>
    <xf numFmtId="1" fontId="8" fillId="0" borderId="23" xfId="0" applyNumberFormat="1" applyFont="1" applyBorder="1"/>
    <xf numFmtId="1" fontId="8" fillId="0" borderId="24" xfId="0" applyNumberFormat="1" applyFont="1" applyBorder="1"/>
    <xf numFmtId="0" fontId="8" fillId="0" borderId="0" xfId="0" applyFont="1"/>
    <xf numFmtId="177" fontId="8" fillId="0" borderId="20" xfId="1" applyNumberFormat="1" applyFont="1" applyBorder="1"/>
    <xf numFmtId="177" fontId="8" fillId="0" borderId="13" xfId="1" applyNumberFormat="1" applyFont="1" applyBorder="1"/>
    <xf numFmtId="177" fontId="8" fillId="0" borderId="21" xfId="1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7" fillId="0" borderId="10" xfId="0" applyFont="1" applyBorder="1"/>
    <xf numFmtId="10" fontId="7" fillId="0" borderId="11" xfId="1" applyNumberFormat="1" applyFont="1" applyBorder="1"/>
    <xf numFmtId="10" fontId="7" fillId="0" borderId="12" xfId="1" applyNumberFormat="1" applyFont="1" applyBorder="1"/>
    <xf numFmtId="0" fontId="7" fillId="0" borderId="15" xfId="0" applyFont="1" applyBorder="1"/>
    <xf numFmtId="10" fontId="7" fillId="0" borderId="16" xfId="1" applyNumberFormat="1" applyFont="1" applyBorder="1"/>
    <xf numFmtId="10" fontId="7" fillId="0" borderId="17" xfId="1" applyNumberFormat="1" applyFont="1" applyBorder="1"/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0" fontId="8" fillId="0" borderId="18" xfId="1" applyNumberFormat="1" applyFont="1" applyBorder="1"/>
    <xf numFmtId="10" fontId="8" fillId="0" borderId="14" xfId="1" applyNumberFormat="1" applyFont="1" applyBorder="1"/>
    <xf numFmtId="10" fontId="8" fillId="0" borderId="19" xfId="1" applyNumberFormat="1" applyFont="1" applyBorder="1"/>
    <xf numFmtId="0" fontId="11" fillId="0" borderId="0" xfId="0" applyFont="1"/>
    <xf numFmtId="0" fontId="10" fillId="0" borderId="13" xfId="0" applyFont="1" applyBorder="1"/>
    <xf numFmtId="2" fontId="0" fillId="0" borderId="13" xfId="0" applyNumberFormat="1" applyBorder="1"/>
    <xf numFmtId="10" fontId="0" fillId="0" borderId="13" xfId="1" applyNumberFormat="1" applyFont="1" applyBorder="1"/>
    <xf numFmtId="4" fontId="0" fillId="0" borderId="13" xfId="0" applyNumberFormat="1" applyBorder="1"/>
    <xf numFmtId="3" fontId="0" fillId="0" borderId="3" xfId="0" applyNumberFormat="1" applyBorder="1"/>
    <xf numFmtId="3" fontId="0" fillId="0" borderId="4" xfId="0" applyNumberFormat="1" applyBorder="1"/>
    <xf numFmtId="3" fontId="0" fillId="0" borderId="0" xfId="0" applyNumberFormat="1" applyBorder="1"/>
    <xf numFmtId="3" fontId="0" fillId="0" borderId="6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33" xfId="0" applyNumberFormat="1" applyBorder="1"/>
    <xf numFmtId="3" fontId="0" fillId="0" borderId="34" xfId="0" applyNumberFormat="1" applyBorder="1"/>
    <xf numFmtId="164" fontId="0" fillId="0" borderId="34" xfId="1" applyNumberFormat="1" applyFont="1" applyBorder="1"/>
    <xf numFmtId="3" fontId="0" fillId="0" borderId="35" xfId="0" applyNumberFormat="1" applyBorder="1"/>
    <xf numFmtId="173" fontId="0" fillId="0" borderId="2" xfId="0" applyNumberFormat="1" applyBorder="1"/>
    <xf numFmtId="173" fontId="0" fillId="0" borderId="3" xfId="0" applyNumberFormat="1" applyBorder="1"/>
    <xf numFmtId="173" fontId="0" fillId="0" borderId="4" xfId="0" applyNumberFormat="1" applyBorder="1"/>
    <xf numFmtId="171" fontId="0" fillId="0" borderId="5" xfId="0" applyNumberFormat="1" applyBorder="1"/>
    <xf numFmtId="171" fontId="0" fillId="0" borderId="0" xfId="0" applyNumberFormat="1" applyBorder="1"/>
    <xf numFmtId="171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9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microsoft.com/office/2017/06/relationships/rdArray" Target="richData/rdarray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19" Type="http://schemas.microsoft.com/office/2017/06/relationships/rdSupportingPropertyBag" Target="richData/rdsupporting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'WALMART-Ratios '!$B$52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'WALMART-Ratios '!$A$53:$A$58</c:f>
              <c:strCache>
                <c:ptCount val="6"/>
                <c:pt idx="0">
                  <c:v>Net Income </c:v>
                </c:pt>
                <c:pt idx="1">
                  <c:v>EBIT </c:v>
                </c:pt>
                <c:pt idx="2">
                  <c:v>EBITDA</c:v>
                </c:pt>
                <c:pt idx="3">
                  <c:v>NOPAT</c:v>
                </c:pt>
                <c:pt idx="4">
                  <c:v>CFFO</c:v>
                </c:pt>
                <c:pt idx="5">
                  <c:v>FCF</c:v>
                </c:pt>
              </c:strCache>
            </c:strRef>
          </c:cat>
          <c:val>
            <c:numRef>
              <c:f>'WALMART-Ratios '!$B$53:$B$58</c:f>
              <c:numCache>
                <c:formatCode>#,##0</c:formatCode>
                <c:ptCount val="6"/>
                <c:pt idx="0">
                  <c:v>19436</c:v>
                </c:pt>
                <c:pt idx="1">
                  <c:v>29348</c:v>
                </c:pt>
                <c:pt idx="2">
                  <c:v>42321</c:v>
                </c:pt>
                <c:pt idx="3">
                  <c:v>22485.371393819605</c:v>
                </c:pt>
                <c:pt idx="4">
                  <c:v>76269</c:v>
                </c:pt>
                <c:pt idx="5">
                  <c:v>50378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3-B247-8B5E-E02A6D2A15C2}"/>
            </c:ext>
          </c:extLst>
        </c:ser>
        <c:ser>
          <c:idx val="1"/>
          <c:order val="1"/>
          <c:tx>
            <c:strRef>
              <c:f>'WALMART-Ratios '!$C$52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'WALMART-Ratios '!$A$53:$A$58</c:f>
              <c:strCache>
                <c:ptCount val="6"/>
                <c:pt idx="0">
                  <c:v>Net Income </c:v>
                </c:pt>
                <c:pt idx="1">
                  <c:v>EBIT </c:v>
                </c:pt>
                <c:pt idx="2">
                  <c:v>EBITDA</c:v>
                </c:pt>
                <c:pt idx="3">
                  <c:v>NOPAT</c:v>
                </c:pt>
                <c:pt idx="4">
                  <c:v>CFFO</c:v>
                </c:pt>
                <c:pt idx="5">
                  <c:v>FCF</c:v>
                </c:pt>
              </c:strCache>
            </c:strRef>
          </c:cat>
          <c:val>
            <c:numRef>
              <c:f>'WALMART-Ratios '!$C$53:$C$58</c:f>
              <c:numCache>
                <c:formatCode>#,##0</c:formatCode>
                <c:ptCount val="6"/>
                <c:pt idx="0">
                  <c:v>15511</c:v>
                </c:pt>
                <c:pt idx="1">
                  <c:v>27012</c:v>
                </c:pt>
                <c:pt idx="2">
                  <c:v>38865</c:v>
                </c:pt>
                <c:pt idx="3">
                  <c:v>20115.582204320763</c:v>
                </c:pt>
                <c:pt idx="4">
                  <c:v>65439</c:v>
                </c:pt>
                <c:pt idx="5">
                  <c:v>43767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13-B247-8B5E-E02A6D2A15C2}"/>
            </c:ext>
          </c:extLst>
        </c:ser>
        <c:ser>
          <c:idx val="2"/>
          <c:order val="2"/>
          <c:tx>
            <c:strRef>
              <c:f>'WALMART-Ratios '!$D$52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'WALMART-Ratios '!$A$53:$A$58</c:f>
              <c:strCache>
                <c:ptCount val="6"/>
                <c:pt idx="0">
                  <c:v>Net Income </c:v>
                </c:pt>
                <c:pt idx="1">
                  <c:v>EBIT </c:v>
                </c:pt>
                <c:pt idx="2">
                  <c:v>EBITDA</c:v>
                </c:pt>
                <c:pt idx="3">
                  <c:v>NOPAT</c:v>
                </c:pt>
                <c:pt idx="4">
                  <c:v>CFFO</c:v>
                </c:pt>
                <c:pt idx="5">
                  <c:v>FCF</c:v>
                </c:pt>
              </c:strCache>
            </c:strRef>
          </c:cat>
          <c:val>
            <c:numRef>
              <c:f>'WALMART-Ratios '!$D$53:$D$58</c:f>
              <c:numCache>
                <c:formatCode>#,##0</c:formatCode>
                <c:ptCount val="6"/>
                <c:pt idx="0">
                  <c:v>11680</c:v>
                </c:pt>
                <c:pt idx="1">
                  <c:v>20428</c:v>
                </c:pt>
                <c:pt idx="2">
                  <c:v>31373</c:v>
                </c:pt>
                <c:pt idx="3">
                  <c:v>13556.239774330041</c:v>
                </c:pt>
                <c:pt idx="4">
                  <c:v>57099</c:v>
                </c:pt>
                <c:pt idx="5">
                  <c:v>39207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13-B247-8B5E-E02A6D2A15C2}"/>
            </c:ext>
          </c:extLst>
        </c:ser>
        <c:ser>
          <c:idx val="3"/>
          <c:order val="3"/>
          <c:tx>
            <c:strRef>
              <c:f>'WALMART-Ratios '!$E$52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'WALMART-Ratios '!$A$53:$A$58</c:f>
              <c:strCache>
                <c:ptCount val="6"/>
                <c:pt idx="0">
                  <c:v>Net Income </c:v>
                </c:pt>
                <c:pt idx="1">
                  <c:v>EBIT </c:v>
                </c:pt>
                <c:pt idx="2">
                  <c:v>EBITDA</c:v>
                </c:pt>
                <c:pt idx="3">
                  <c:v>NOPAT</c:v>
                </c:pt>
                <c:pt idx="4">
                  <c:v>CFFO</c:v>
                </c:pt>
                <c:pt idx="5">
                  <c:v>FCF</c:v>
                </c:pt>
              </c:strCache>
            </c:strRef>
          </c:cat>
          <c:val>
            <c:numRef>
              <c:f>'WALMART-Ratios '!$E$53:$E$58</c:f>
              <c:numCache>
                <c:formatCode>#,##0</c:formatCode>
                <c:ptCount val="6"/>
                <c:pt idx="0">
                  <c:v>13673</c:v>
                </c:pt>
                <c:pt idx="1">
                  <c:v>25942</c:v>
                </c:pt>
                <c:pt idx="2">
                  <c:v>36600</c:v>
                </c:pt>
                <c:pt idx="3">
                  <c:v>19342.719298245614</c:v>
                </c:pt>
                <c:pt idx="4">
                  <c:v>56949</c:v>
                </c:pt>
                <c:pt idx="5">
                  <c:v>42605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13-B247-8B5E-E02A6D2A15C2}"/>
            </c:ext>
          </c:extLst>
        </c:ser>
        <c:ser>
          <c:idx val="4"/>
          <c:order val="4"/>
          <c:tx>
            <c:strRef>
              <c:f>'WALMART-Ratios '!$F$52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'WALMART-Ratios '!$A$53:$A$58</c:f>
              <c:strCache>
                <c:ptCount val="6"/>
                <c:pt idx="0">
                  <c:v>Net Income </c:v>
                </c:pt>
                <c:pt idx="1">
                  <c:v>EBIT </c:v>
                </c:pt>
                <c:pt idx="2">
                  <c:v>EBITDA</c:v>
                </c:pt>
                <c:pt idx="3">
                  <c:v>NOPAT</c:v>
                </c:pt>
                <c:pt idx="4">
                  <c:v>CFFO</c:v>
                </c:pt>
                <c:pt idx="5">
                  <c:v>FCF</c:v>
                </c:pt>
              </c:strCache>
            </c:strRef>
          </c:cat>
          <c:val>
            <c:numRef>
              <c:f>'WALMART-Ratios '!$F$53:$F$58</c:f>
              <c:numCache>
                <c:formatCode>#,##0</c:formatCode>
                <c:ptCount val="6"/>
                <c:pt idx="0">
                  <c:v>13510</c:v>
                </c:pt>
                <c:pt idx="1">
                  <c:v>22548</c:v>
                </c:pt>
                <c:pt idx="2">
                  <c:v>33700</c:v>
                </c:pt>
                <c:pt idx="3">
                  <c:v>15028.345069052712</c:v>
                </c:pt>
                <c:pt idx="4">
                  <c:v>202740</c:v>
                </c:pt>
                <c:pt idx="5">
                  <c:v>192398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13-B247-8B5E-E02A6D2A1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213327"/>
        <c:axId val="1923659888"/>
      </c:barChart>
      <c:catAx>
        <c:axId val="65213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659888"/>
        <c:crosses val="autoZero"/>
        <c:auto val="1"/>
        <c:lblAlgn val="ctr"/>
        <c:lblOffset val="100"/>
        <c:noMultiLvlLbl val="0"/>
      </c:catAx>
      <c:valAx>
        <c:axId val="192365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1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'WALMART-Ratios '!$A$3</c:f>
              <c:strCache>
                <c:ptCount val="1"/>
                <c:pt idx="0">
                  <c:v>Gross Profit Margin= gross profit/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'WALMART-Ratios '!$B$2:$F$2</c:f>
              <c:numCache>
                <c:formatCode>General</c:formatCode>
                <c:ptCount val="5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</c:numCache>
            </c:numRef>
          </c:cat>
          <c:val>
            <c:numRef>
              <c:f>'WALMART-Ratios '!$B$3:$F$3</c:f>
              <c:numCache>
                <c:formatCode>0.00%</c:formatCode>
                <c:ptCount val="5"/>
                <c:pt idx="0">
                  <c:v>0.24132813866676156</c:v>
                </c:pt>
                <c:pt idx="1">
                  <c:v>0.23729570504032604</c:v>
                </c:pt>
                <c:pt idx="2">
                  <c:v>0.23463353364769649</c:v>
                </c:pt>
                <c:pt idx="3">
                  <c:v>0.24440170353070476</c:v>
                </c:pt>
                <c:pt idx="4">
                  <c:v>0.24299348201565829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3-364C-8AEE-A847CAE9D02E}"/>
            </c:ext>
          </c:extLst>
        </c:ser>
        <c:ser>
          <c:idx val="1"/>
          <c:order val="1"/>
          <c:tx>
            <c:strRef>
              <c:f>'WALMART-Ratios '!$A$4</c:f>
              <c:strCache>
                <c:ptCount val="1"/>
                <c:pt idx="0">
                  <c:v>Operating Profit Margin = Operating profit/ sales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'WALMART-Ratios '!$B$2:$F$2</c:f>
              <c:numCache>
                <c:formatCode>General</c:formatCode>
                <c:ptCount val="5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</c:numCache>
            </c:numRef>
          </c:cat>
          <c:val>
            <c:numRef>
              <c:f>'WALMART-Ratios '!$B$4:$F$4</c:f>
              <c:numCache>
                <c:formatCode>0.00%</c:formatCode>
                <c:ptCount val="5"/>
                <c:pt idx="0">
                  <c:v>4.3508297531050885E-2</c:v>
                </c:pt>
                <c:pt idx="1">
                  <c:v>4.2033060654770887E-2</c:v>
                </c:pt>
                <c:pt idx="2">
                  <c:v>3.3716191793437988E-2</c:v>
                </c:pt>
                <c:pt idx="3">
                  <c:v>4.5691680669012719E-2</c:v>
                </c:pt>
                <c:pt idx="4">
                  <c:v>4.0609978153315816E-2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E3-364C-8AEE-A847CAE9D02E}"/>
            </c:ext>
          </c:extLst>
        </c:ser>
        <c:ser>
          <c:idx val="2"/>
          <c:order val="2"/>
          <c:tx>
            <c:strRef>
              <c:f>'WALMART-Ratios '!$A$5</c:f>
              <c:strCache>
                <c:ptCount val="1"/>
                <c:pt idx="0">
                  <c:v>Net Profit Margin = net profit/ sales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'WALMART-Ratios '!$B$2:$F$2</c:f>
              <c:numCache>
                <c:formatCode>General</c:formatCode>
                <c:ptCount val="5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</c:numCache>
            </c:numRef>
          </c:cat>
          <c:val>
            <c:numRef>
              <c:f>'WALMART-Ratios '!$B$5:$F$5</c:f>
              <c:numCache>
                <c:formatCode>0.0%</c:formatCode>
                <c:ptCount val="5"/>
                <c:pt idx="0">
                  <c:v>2.881379551633859E-2</c:v>
                </c:pt>
                <c:pt idx="1">
                  <c:v>2.4136487628318944E-2</c:v>
                </c:pt>
                <c:pt idx="2">
                  <c:v>1.9277712950232801E-2</c:v>
                </c:pt>
                <c:pt idx="3">
                  <c:v>2.4082273910547024E-2</c:v>
                </c:pt>
                <c:pt idx="4">
                  <c:v>2.4332127233071522E-2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E3-364C-8AEE-A847CAE9D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4792208"/>
        <c:axId val="1805618160"/>
      </c:barChart>
      <c:catAx>
        <c:axId val="180479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618160"/>
        <c:crosses val="autoZero"/>
        <c:auto val="1"/>
        <c:lblAlgn val="ctr"/>
        <c:lblOffset val="100"/>
        <c:noMultiLvlLbl val="0"/>
      </c:catAx>
      <c:valAx>
        <c:axId val="180561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79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'Traget-ratios'!$B$29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'Traget-ratios'!$A$30:$A$36</c:f>
              <c:strCache>
                <c:ptCount val="7"/>
                <c:pt idx="0">
                  <c:v>Net Income </c:v>
                </c:pt>
                <c:pt idx="1">
                  <c:v>EBIT </c:v>
                </c:pt>
                <c:pt idx="2">
                  <c:v>EBITDA</c:v>
                </c:pt>
                <c:pt idx="3">
                  <c:v>NOPAT</c:v>
                </c:pt>
                <c:pt idx="4">
                  <c:v>Tax rate </c:v>
                </c:pt>
                <c:pt idx="5">
                  <c:v>CFFO</c:v>
                </c:pt>
                <c:pt idx="6">
                  <c:v>FCF</c:v>
                </c:pt>
              </c:strCache>
            </c:strRef>
          </c:cat>
          <c:val>
            <c:numRef>
              <c:f>'Traget-ratios'!$B$30:$B$36</c:f>
              <c:numCache>
                <c:formatCode>#,##0</c:formatCode>
                <c:ptCount val="7"/>
                <c:pt idx="0">
                  <c:v>4091</c:v>
                </c:pt>
                <c:pt idx="1">
                  <c:v>5566</c:v>
                </c:pt>
                <c:pt idx="2">
                  <c:v>31843</c:v>
                </c:pt>
                <c:pt idx="3">
                  <c:v>4328.1706899828932</c:v>
                </c:pt>
                <c:pt idx="4" formatCode="0.0%">
                  <c:v>0.22239118038395742</c:v>
                </c:pt>
                <c:pt idx="5">
                  <c:v>10868</c:v>
                </c:pt>
                <c:pt idx="6">
                  <c:v>7566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6-3647-B341-C07891DFE842}"/>
            </c:ext>
          </c:extLst>
        </c:ser>
        <c:ser>
          <c:idx val="1"/>
          <c:order val="1"/>
          <c:tx>
            <c:strRef>
              <c:f>'Traget-ratios'!$C$29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'Traget-ratios'!$A$30:$A$36</c:f>
              <c:strCache>
                <c:ptCount val="7"/>
                <c:pt idx="0">
                  <c:v>Net Income </c:v>
                </c:pt>
                <c:pt idx="1">
                  <c:v>EBIT </c:v>
                </c:pt>
                <c:pt idx="2">
                  <c:v>EBITDA</c:v>
                </c:pt>
                <c:pt idx="3">
                  <c:v>NOPAT</c:v>
                </c:pt>
                <c:pt idx="4">
                  <c:v>Tax rate </c:v>
                </c:pt>
                <c:pt idx="5">
                  <c:v>CFFO</c:v>
                </c:pt>
                <c:pt idx="6">
                  <c:v>FCF</c:v>
                </c:pt>
              </c:strCache>
            </c:strRef>
          </c:cat>
          <c:val>
            <c:numRef>
              <c:f>'Traget-ratios'!$C$30:$C$36</c:f>
              <c:numCache>
                <c:formatCode>#,##0</c:formatCode>
                <c:ptCount val="7"/>
                <c:pt idx="0">
                  <c:v>4138</c:v>
                </c:pt>
                <c:pt idx="1">
                  <c:v>5707</c:v>
                </c:pt>
                <c:pt idx="2">
                  <c:v>30120</c:v>
                </c:pt>
                <c:pt idx="3">
                  <c:v>4458.2907306022271</c:v>
                </c:pt>
                <c:pt idx="4" formatCode="0.0%">
                  <c:v>0.21880309609212761</c:v>
                </c:pt>
                <c:pt idx="5">
                  <c:v>7120</c:v>
                </c:pt>
                <c:pt idx="6">
                  <c:v>1812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C6-3647-B341-C07891DFE842}"/>
            </c:ext>
          </c:extLst>
        </c:ser>
        <c:ser>
          <c:idx val="2"/>
          <c:order val="2"/>
          <c:tx>
            <c:strRef>
              <c:f>'Traget-ratios'!$D$29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'Traget-ratios'!$A$30:$A$36</c:f>
              <c:strCache>
                <c:ptCount val="7"/>
                <c:pt idx="0">
                  <c:v>Net Income </c:v>
                </c:pt>
                <c:pt idx="1">
                  <c:v>EBIT </c:v>
                </c:pt>
                <c:pt idx="2">
                  <c:v>EBITDA</c:v>
                </c:pt>
                <c:pt idx="3">
                  <c:v>NOPAT</c:v>
                </c:pt>
                <c:pt idx="4">
                  <c:v>Tax rate </c:v>
                </c:pt>
                <c:pt idx="5">
                  <c:v>CFFO</c:v>
                </c:pt>
                <c:pt idx="6">
                  <c:v>FCF</c:v>
                </c:pt>
              </c:strCache>
            </c:strRef>
          </c:cat>
          <c:val>
            <c:numRef>
              <c:f>'Traget-ratios'!$D$30:$D$36</c:f>
              <c:numCache>
                <c:formatCode>#,##0</c:formatCode>
                <c:ptCount val="7"/>
                <c:pt idx="0">
                  <c:v>2780</c:v>
                </c:pt>
                <c:pt idx="1">
                  <c:v>3848</c:v>
                </c:pt>
                <c:pt idx="2">
                  <c:v>26479</c:v>
                </c:pt>
                <c:pt idx="3">
                  <c:v>3129.7366881217085</c:v>
                </c:pt>
                <c:pt idx="4" formatCode="0.0%">
                  <c:v>0.18665886483323582</c:v>
                </c:pt>
                <c:pt idx="5">
                  <c:v>535</c:v>
                </c:pt>
                <c:pt idx="6">
                  <c:v>-5471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C6-3647-B341-C07891DFE842}"/>
            </c:ext>
          </c:extLst>
        </c:ser>
        <c:ser>
          <c:idx val="3"/>
          <c:order val="3"/>
          <c:tx>
            <c:strRef>
              <c:f>'Traget-ratios'!$E$29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'Traget-ratios'!$A$30:$A$36</c:f>
              <c:strCache>
                <c:ptCount val="7"/>
                <c:pt idx="0">
                  <c:v>Net Income </c:v>
                </c:pt>
                <c:pt idx="1">
                  <c:v>EBIT </c:v>
                </c:pt>
                <c:pt idx="2">
                  <c:v>EBITDA</c:v>
                </c:pt>
                <c:pt idx="3">
                  <c:v>NOPAT</c:v>
                </c:pt>
                <c:pt idx="4">
                  <c:v>Tax rate </c:v>
                </c:pt>
                <c:pt idx="5">
                  <c:v>CFFO</c:v>
                </c:pt>
                <c:pt idx="6">
                  <c:v>FCF</c:v>
                </c:pt>
              </c:strCache>
            </c:strRef>
          </c:cat>
          <c:val>
            <c:numRef>
              <c:f>'Traget-ratios'!$E$30:$E$36</c:f>
              <c:numCache>
                <c:formatCode>#,##0</c:formatCode>
                <c:ptCount val="7"/>
                <c:pt idx="0">
                  <c:v>6946</c:v>
                </c:pt>
                <c:pt idx="1">
                  <c:v>8946</c:v>
                </c:pt>
                <c:pt idx="2">
                  <c:v>30083</c:v>
                </c:pt>
                <c:pt idx="3">
                  <c:v>6976.4136072751771</c:v>
                </c:pt>
                <c:pt idx="4" formatCode="0.0%">
                  <c:v>0.22016391602110699</c:v>
                </c:pt>
                <c:pt idx="5">
                  <c:v>14203</c:v>
                </c:pt>
                <c:pt idx="6">
                  <c:v>17326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C6-3647-B341-C07891DFE842}"/>
            </c:ext>
          </c:extLst>
        </c:ser>
        <c:ser>
          <c:idx val="4"/>
          <c:order val="4"/>
          <c:tx>
            <c:strRef>
              <c:f>'Traget-ratios'!$F$29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'Traget-ratios'!$A$30:$A$36</c:f>
              <c:strCache>
                <c:ptCount val="7"/>
                <c:pt idx="0">
                  <c:v>Net Income </c:v>
                </c:pt>
                <c:pt idx="1">
                  <c:v>EBIT </c:v>
                </c:pt>
                <c:pt idx="2">
                  <c:v>EBITDA</c:v>
                </c:pt>
                <c:pt idx="3">
                  <c:v>NOPAT</c:v>
                </c:pt>
                <c:pt idx="4">
                  <c:v>Tax rate </c:v>
                </c:pt>
                <c:pt idx="5">
                  <c:v>CFFO</c:v>
                </c:pt>
                <c:pt idx="6">
                  <c:v>FCF</c:v>
                </c:pt>
              </c:strCache>
            </c:strRef>
          </c:cat>
          <c:val>
            <c:numRef>
              <c:f>'Traget-ratios'!$F$30:$F$36</c:f>
              <c:numCache>
                <c:formatCode>#,##0</c:formatCode>
                <c:ptCount val="7"/>
                <c:pt idx="0">
                  <c:v>4368</c:v>
                </c:pt>
                <c:pt idx="1">
                  <c:v>6539</c:v>
                </c:pt>
                <c:pt idx="2">
                  <c:v>26817</c:v>
                </c:pt>
                <c:pt idx="3">
                  <c:v>5150.0815001803103</c:v>
                </c:pt>
                <c:pt idx="4" formatCode="0.0%">
                  <c:v>0.2124053371799495</c:v>
                </c:pt>
                <c:pt idx="5">
                  <c:v>21354</c:v>
                </c:pt>
                <c:pt idx="6">
                  <c:v>17728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C6-3647-B341-C07891DFE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375103"/>
        <c:axId val="343925359"/>
      </c:barChart>
      <c:catAx>
        <c:axId val="34337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925359"/>
        <c:crosses val="autoZero"/>
        <c:auto val="1"/>
        <c:lblAlgn val="ctr"/>
        <c:lblOffset val="100"/>
        <c:noMultiLvlLbl val="0"/>
      </c:catAx>
      <c:valAx>
        <c:axId val="34392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37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42</xdr:row>
      <xdr:rowOff>171450</xdr:rowOff>
    </xdr:from>
    <xdr:to>
      <xdr:col>17</xdr:col>
      <xdr:colOff>381000</xdr:colOff>
      <xdr:row>60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C1C8F0-F7B3-4753-7966-E5863B18C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444500</xdr:colOff>
      <xdr:row>2</xdr:row>
      <xdr:rowOff>44450</xdr:rowOff>
    </xdr:from>
    <xdr:to>
      <xdr:col>12</xdr:col>
      <xdr:colOff>63500</xdr:colOff>
      <xdr:row>12</xdr:row>
      <xdr:rowOff>184150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2D773F-A2AB-BA71-3D09-438886BA7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21</xdr:row>
      <xdr:rowOff>203200</xdr:rowOff>
    </xdr:from>
    <xdr:to>
      <xdr:col>16</xdr:col>
      <xdr:colOff>152400</xdr:colOff>
      <xdr:row>37</xdr:row>
      <xdr:rowOff>177800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B546625-A509-F88E-EEF8-875408F7A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2">
  <a r="1" c="2">
    <v t="i">0</v>
    <v t="i">1</v>
  </a>
  <a r="1" c="2">
    <v>93.32</v>
    <v>95.78</v>
  </a>
  <a r="1">
    <v t="i">0</v>
  </a>
  <a r="1">
    <v>135.05000000000001</v>
  </a>
  <a r="1">
    <v>142.41999999999999</v>
  </a>
  <a r="1">
    <v>149.04</v>
  </a>
  <a r="1">
    <v>231.91</v>
  </a>
  <a r="1">
    <v>99.77</v>
  </a>
  <a r="1">
    <v>48.229500000000002</v>
  </a>
  <a r="1">
    <v>47.262900000000002</v>
  </a>
  <a r="1">
    <v>52.549500000000002</v>
  </a>
  <a r="1">
    <v>90.35</v>
  </a>
</arrayData>
</file>

<file path=xl/richData/rdrichvalue.xml><?xml version="1.0" encoding="utf-8"?>
<rvData xmlns="http://schemas.microsoft.com/office/spreadsheetml/2017/richdata" count="29">
  <rv s="0">
    <fb>45810</fb>
    <v>0</v>
  </rv>
  <rv s="0">
    <fb>99.77</fb>
    <v>1</v>
  </rv>
  <rv s="0">
    <fb>45657</fb>
    <v>0</v>
  </rv>
  <rv s="0">
    <fb>90.35</fb>
    <v>1</v>
  </rv>
  <rv s="0">
    <fb>45289</fb>
    <v>0</v>
  </rv>
  <rv s="0">
    <fb>52.549500000000002</fb>
    <v>1</v>
  </rv>
  <rv s="0">
    <fb>44925</fb>
    <v>0</v>
  </rv>
  <rv s="0">
    <fb>47.262900000000002</fb>
    <v>1</v>
  </rv>
  <rv s="0">
    <fb>44561</fb>
    <v>0</v>
  </rv>
  <rv s="0">
    <fb>48.229500000000002</fb>
    <v>1</v>
  </rv>
  <rv s="0">
    <fb>93.32</fb>
    <v>1</v>
  </rv>
  <rv s="0">
    <fb>45811</fb>
    <v>0</v>
  </rv>
  <rv s="0">
    <fb>95.78</fb>
    <v>1</v>
  </rv>
  <rv s="0">
    <fb>45656</fb>
    <v>0</v>
  </rv>
  <rv s="0">
    <fb>135.05000000000001</fb>
    <v>1</v>
  </rv>
  <rv s="0">
    <fb>142.41999999999999</fb>
    <v>1</v>
  </rv>
  <rv s="0">
    <fb>149.04</fb>
    <v>1</v>
  </rv>
  <rv s="0">
    <fb>44560</fb>
    <v>0</v>
  </rv>
  <rv s="0">
    <fb>231.91</fb>
    <v>1</v>
  </rv>
  <rv s="1">
    <v>2</v>
    <v>TGT</v>
    <v>Daily</v>
    <v>45810</v>
    <v>45811</v>
    <v>0</v>
    <v>1</v>
    <v>638845056000000000,638846032894380294,0</v>
    <v>0</v>
    <v>a246z2</v>
    <v>XNYS:TGT</v>
    <v>1</v>
  </rv>
  <rv s="1">
    <v>2</v>
    <v>TGT</v>
    <v>Daily</v>
    <v>45656</v>
    <v>45656</v>
    <v>0</v>
    <v>1</v>
    <v>638711136000000000,638846033601877979,0</v>
    <v>2</v>
    <v>a246z2</v>
    <v>XNYS:TGT</v>
    <v>3</v>
  </rv>
  <rv s="1">
    <v>2</v>
    <v>TGT</v>
    <v>Daily</v>
    <v>45289</v>
    <v>45289</v>
    <v>0</v>
    <v>1</v>
    <v>638394048000000000,638846034182296113,0</v>
    <v>2</v>
    <v>a246z2</v>
    <v>XNYS:TGT</v>
    <v>4</v>
  </rv>
  <rv s="1">
    <v>2</v>
    <v>TGT</v>
    <v>Daily</v>
    <v>44925</v>
    <v>44925</v>
    <v>0</v>
    <v>1</v>
    <v/>
    <v>2</v>
    <v>a246z2</v>
    <v>XNYS:TGT</v>
    <v>5</v>
  </rv>
  <rv s="1">
    <v>2</v>
    <v>TGT</v>
    <v>Daily</v>
    <v>44560</v>
    <v>44560</v>
    <v>0</v>
    <v>1</v>
    <v>637764192000000000,638846034990040985,0</v>
    <v>2</v>
    <v>a246z2</v>
    <v>XNYS:TGT</v>
    <v>6</v>
  </rv>
  <rv s="1">
    <v>2</v>
    <v>WMT</v>
    <v>Daily</v>
    <v>45810</v>
    <v>45811</v>
    <v>0</v>
    <v>1</v>
    <v>638844192000000000,638845779999273900,0</v>
    <v>2</v>
    <v>a25ya2</v>
    <v>XNYS:WMT</v>
    <v>7</v>
  </rv>
  <rv s="1">
    <v>2</v>
    <v>WMT</v>
    <v>Daily</v>
    <v>44561</v>
    <v>44561</v>
    <v>0</v>
    <v>1</v>
    <v>637765056000000000,638845783666126168,0</v>
    <v>2</v>
    <v>a25ya2</v>
    <v>XNYS:WMT</v>
    <v>8</v>
  </rv>
  <rv s="1">
    <v>2</v>
    <v>WMT</v>
    <v>Daily</v>
    <v>44925</v>
    <v>44925</v>
    <v>0</v>
    <v>1</v>
    <v>638079552000000000,638845783588775719,0</v>
    <v>2</v>
    <v>a25ya2</v>
    <v>XNYS:WMT</v>
    <v>9</v>
  </rv>
  <rv s="1">
    <v>2</v>
    <v>WMT</v>
    <v>Daily</v>
    <v>45289</v>
    <v>45289</v>
    <v>0</v>
    <v>1</v>
    <v>638394048000000000,638845783361751758,0</v>
    <v>2</v>
    <v>a25ya2</v>
    <v>XNYS:WMT</v>
    <v>10</v>
  </rv>
  <rv s="1">
    <v>2</v>
    <v>WMT</v>
    <v>Daily</v>
    <v>45657</v>
    <v>45657</v>
    <v>0</v>
    <v>1</v>
    <v>638712000000000000,638845782627183193,0</v>
    <v>2</v>
    <v>a25ya2</v>
    <v>XNYS:WMT</v>
    <v>11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021D-E863-0147-B8E9-0566AC488660}">
  <dimension ref="A3:F39"/>
  <sheetViews>
    <sheetView topLeftCell="A7" zoomScale="89" workbookViewId="0">
      <selection activeCell="C10" sqref="C10"/>
    </sheetView>
  </sheetViews>
  <sheetFormatPr baseColWidth="10" defaultRowHeight="16"/>
  <cols>
    <col min="1" max="1" width="134.6640625" bestFit="1" customWidth="1"/>
    <col min="2" max="2" width="8" bestFit="1" customWidth="1"/>
    <col min="3" max="3" width="17.33203125" customWidth="1"/>
    <col min="4" max="4" width="13.1640625" customWidth="1"/>
    <col min="5" max="5" width="13.5" customWidth="1"/>
  </cols>
  <sheetData>
    <row r="3" spans="1:6">
      <c r="A3" t="s">
        <v>0</v>
      </c>
      <c r="B3" s="9">
        <v>2025</v>
      </c>
      <c r="C3" s="9">
        <v>2024</v>
      </c>
      <c r="D3" s="9">
        <v>2023</v>
      </c>
      <c r="E3" s="9">
        <v>2022</v>
      </c>
      <c r="F3" s="9">
        <v>2021</v>
      </c>
    </row>
    <row r="4" spans="1:6">
      <c r="A4" t="s">
        <v>1</v>
      </c>
      <c r="B4" s="1">
        <v>20157</v>
      </c>
      <c r="C4" s="1">
        <v>16270</v>
      </c>
      <c r="D4" s="1">
        <v>11292</v>
      </c>
      <c r="E4" s="1">
        <v>13940</v>
      </c>
      <c r="F4" s="1">
        <v>13706</v>
      </c>
    </row>
    <row r="5" spans="1:6">
      <c r="A5" t="s">
        <v>3</v>
      </c>
      <c r="B5" s="1">
        <v>12973</v>
      </c>
      <c r="C5" s="1">
        <v>11853</v>
      </c>
      <c r="D5" s="1">
        <v>10945</v>
      </c>
      <c r="E5" s="1">
        <v>10658</v>
      </c>
      <c r="F5" s="1">
        <v>11152</v>
      </c>
    </row>
    <row r="6" spans="1:6">
      <c r="A6" t="s">
        <v>4</v>
      </c>
      <c r="B6">
        <v>878</v>
      </c>
      <c r="C6" s="1">
        <v>3193</v>
      </c>
      <c r="D6" s="1">
        <v>1683</v>
      </c>
      <c r="E6" s="1">
        <v>2440</v>
      </c>
      <c r="F6" s="1">
        <v>-8589</v>
      </c>
    </row>
    <row r="7" spans="1:6">
      <c r="A7" t="s">
        <v>5</v>
      </c>
      <c r="E7">
        <v>433</v>
      </c>
      <c r="F7" s="1">
        <v>8401</v>
      </c>
    </row>
    <row r="8" spans="1:6">
      <c r="A8" t="s">
        <v>6</v>
      </c>
      <c r="B8">
        <v>-635</v>
      </c>
      <c r="C8">
        <v>-175</v>
      </c>
      <c r="D8">
        <v>449</v>
      </c>
      <c r="E8">
        <v>-755</v>
      </c>
      <c r="F8" s="1">
        <v>1911</v>
      </c>
    </row>
    <row r="9" spans="1:6">
      <c r="A9" t="s">
        <v>7</v>
      </c>
      <c r="D9" s="1">
        <v>0</v>
      </c>
      <c r="E9" s="1">
        <v>2410</v>
      </c>
      <c r="F9">
        <v>0</v>
      </c>
    </row>
    <row r="10" spans="1:6">
      <c r="A10" t="s">
        <v>8</v>
      </c>
      <c r="B10">
        <v>2889</v>
      </c>
      <c r="C10" s="1">
        <v>2642</v>
      </c>
      <c r="D10" s="1">
        <v>1919</v>
      </c>
      <c r="E10" s="1">
        <v>1652</v>
      </c>
      <c r="F10" s="1">
        <v>1521</v>
      </c>
    </row>
    <row r="11" spans="1:6">
      <c r="A11" t="s">
        <v>9</v>
      </c>
      <c r="B11" s="1">
        <v>-1106</v>
      </c>
      <c r="C11">
        <v>-797</v>
      </c>
      <c r="D11">
        <v>240</v>
      </c>
      <c r="E11" s="1">
        <v>-1796</v>
      </c>
      <c r="F11" s="1">
        <v>-1086</v>
      </c>
    </row>
    <row r="12" spans="1:6">
      <c r="A12" t="s">
        <v>10</v>
      </c>
      <c r="B12" s="1">
        <v>-2755</v>
      </c>
      <c r="C12" s="1">
        <v>2017</v>
      </c>
      <c r="D12">
        <v>-528</v>
      </c>
      <c r="E12" s="1">
        <v>-11764</v>
      </c>
      <c r="F12" s="1">
        <v>-2395</v>
      </c>
    </row>
    <row r="13" spans="1:6">
      <c r="A13" t="s">
        <v>11</v>
      </c>
      <c r="B13">
        <v>3228</v>
      </c>
      <c r="C13" s="1">
        <v>2515</v>
      </c>
      <c r="D13" s="1">
        <v>-1425</v>
      </c>
      <c r="E13" s="1">
        <v>5520</v>
      </c>
      <c r="F13" s="1">
        <v>6966</v>
      </c>
    </row>
    <row r="14" spans="1:6">
      <c r="A14" t="s">
        <v>12</v>
      </c>
      <c r="B14">
        <v>379</v>
      </c>
      <c r="C14" s="1">
        <v>-1324</v>
      </c>
      <c r="D14" s="1">
        <v>4393</v>
      </c>
      <c r="E14" s="1">
        <v>1404</v>
      </c>
      <c r="F14" s="1">
        <v>4623</v>
      </c>
    </row>
    <row r="15" spans="1:6">
      <c r="A15" t="s">
        <v>13</v>
      </c>
      <c r="B15">
        <v>435</v>
      </c>
      <c r="C15">
        <v>-468</v>
      </c>
      <c r="D15">
        <v>-127</v>
      </c>
      <c r="E15">
        <v>39</v>
      </c>
      <c r="F15" s="1">
        <v>-136</v>
      </c>
    </row>
    <row r="16" spans="1:6">
      <c r="A16" t="s">
        <v>14</v>
      </c>
      <c r="B16" s="6">
        <v>36444</v>
      </c>
      <c r="C16" s="6">
        <v>35726</v>
      </c>
      <c r="D16" s="6">
        <v>28841</v>
      </c>
      <c r="E16" s="6">
        <v>24181</v>
      </c>
      <c r="F16" s="6">
        <v>36074</v>
      </c>
    </row>
    <row r="17" spans="1:6">
      <c r="A17" t="s">
        <v>15</v>
      </c>
      <c r="B17" s="1">
        <v>-23783</v>
      </c>
      <c r="C17" s="1">
        <v>-20606</v>
      </c>
      <c r="D17" s="1">
        <v>-16857</v>
      </c>
      <c r="E17" s="1">
        <v>-13106</v>
      </c>
      <c r="F17" s="1">
        <v>-10264</v>
      </c>
    </row>
    <row r="18" spans="1:6">
      <c r="A18" t="s">
        <v>16</v>
      </c>
      <c r="B18">
        <v>432</v>
      </c>
      <c r="C18">
        <v>250</v>
      </c>
      <c r="D18">
        <v>170</v>
      </c>
      <c r="E18">
        <v>394</v>
      </c>
      <c r="F18" s="1">
        <v>215</v>
      </c>
    </row>
    <row r="19" spans="1:6">
      <c r="A19" t="s">
        <v>17</v>
      </c>
      <c r="B19">
        <v>4080</v>
      </c>
      <c r="C19">
        <v>135</v>
      </c>
      <c r="E19" s="1">
        <v>7935</v>
      </c>
      <c r="F19" s="1">
        <v>56</v>
      </c>
    </row>
    <row r="20" spans="1:6">
      <c r="A20" t="s">
        <v>18</v>
      </c>
      <c r="B20">
        <v>-1896</v>
      </c>
      <c r="C20">
        <v>-9</v>
      </c>
      <c r="D20">
        <v>-740</v>
      </c>
      <c r="E20">
        <v>-359</v>
      </c>
      <c r="F20" s="1">
        <v>-180</v>
      </c>
    </row>
    <row r="21" spans="1:6">
      <c r="A21" t="s">
        <v>19</v>
      </c>
      <c r="B21">
        <v>-212</v>
      </c>
      <c r="C21" s="1">
        <v>-1057</v>
      </c>
      <c r="D21">
        <v>-295</v>
      </c>
      <c r="E21">
        <v>-879</v>
      </c>
      <c r="F21" s="1">
        <v>102</v>
      </c>
    </row>
    <row r="22" spans="1:6">
      <c r="A22" t="s">
        <v>20</v>
      </c>
      <c r="B22" s="6">
        <v>-21379</v>
      </c>
      <c r="C22" s="6">
        <v>-21287</v>
      </c>
      <c r="D22" s="6">
        <v>-17722</v>
      </c>
      <c r="E22" s="6">
        <v>-6015</v>
      </c>
      <c r="F22" s="6">
        <v>-10071</v>
      </c>
    </row>
    <row r="23" spans="1:6">
      <c r="A23" t="s">
        <v>21</v>
      </c>
      <c r="B23" s="1">
        <v>2212</v>
      </c>
      <c r="C23">
        <v>512</v>
      </c>
      <c r="D23">
        <v>-34</v>
      </c>
      <c r="E23">
        <v>193</v>
      </c>
      <c r="F23" s="1">
        <v>-324</v>
      </c>
    </row>
    <row r="24" spans="1:6">
      <c r="A24" t="s">
        <v>22</v>
      </c>
      <c r="B24">
        <v>0</v>
      </c>
      <c r="C24" s="1">
        <v>4967</v>
      </c>
      <c r="D24" s="1">
        <v>5041</v>
      </c>
      <c r="E24" s="1">
        <v>6945</v>
      </c>
      <c r="F24" s="1">
        <v>0</v>
      </c>
    </row>
    <row r="25" spans="1:6">
      <c r="A25" t="s">
        <v>23</v>
      </c>
      <c r="B25" s="1">
        <v>-3468</v>
      </c>
      <c r="C25" s="1">
        <v>-4217</v>
      </c>
      <c r="D25" s="1">
        <v>-2689</v>
      </c>
      <c r="E25" s="1">
        <v>-13010</v>
      </c>
      <c r="F25" s="1">
        <v>-5382</v>
      </c>
    </row>
    <row r="26" spans="1:6">
      <c r="A26" t="s">
        <v>24</v>
      </c>
      <c r="E26" s="1">
        <v>-2317</v>
      </c>
      <c r="F26" s="1">
        <v>0</v>
      </c>
    </row>
    <row r="27" spans="1:6">
      <c r="A27" t="s">
        <v>25</v>
      </c>
      <c r="B27" s="1">
        <v>-6688</v>
      </c>
      <c r="C27" s="1">
        <v>-6140</v>
      </c>
      <c r="D27" s="1">
        <v>-6114</v>
      </c>
      <c r="E27" s="1">
        <v>-6152</v>
      </c>
      <c r="F27" s="1">
        <v>6116</v>
      </c>
    </row>
    <row r="28" spans="1:6">
      <c r="A28" t="s">
        <v>26</v>
      </c>
      <c r="B28" s="1">
        <v>-4494</v>
      </c>
      <c r="C28" s="1">
        <v>-2779</v>
      </c>
      <c r="D28" s="1">
        <v>-9920</v>
      </c>
      <c r="E28" s="1">
        <v>-9787</v>
      </c>
      <c r="F28" s="1">
        <v>-2625</v>
      </c>
    </row>
    <row r="29" spans="1:6">
      <c r="A29" t="s">
        <v>27</v>
      </c>
      <c r="B29" s="1">
        <v>-576</v>
      </c>
      <c r="C29">
        <v>-763</v>
      </c>
      <c r="D29">
        <v>-444</v>
      </c>
      <c r="E29">
        <v>-424</v>
      </c>
      <c r="F29" s="1">
        <v>-434</v>
      </c>
    </row>
    <row r="30" spans="1:6">
      <c r="F30" s="1"/>
    </row>
    <row r="31" spans="1:6">
      <c r="A31" t="s">
        <v>28</v>
      </c>
      <c r="B31" s="1">
        <v>0</v>
      </c>
      <c r="C31" s="1">
        <v>-3462</v>
      </c>
      <c r="D31">
        <v>-827</v>
      </c>
      <c r="F31" s="1">
        <v>0</v>
      </c>
    </row>
    <row r="32" spans="1:6">
      <c r="A32" t="s">
        <v>29</v>
      </c>
      <c r="B32" s="1">
        <v>362</v>
      </c>
      <c r="C32">
        <v>716</v>
      </c>
      <c r="D32">
        <v>66</v>
      </c>
      <c r="E32" s="1">
        <v>3239</v>
      </c>
      <c r="F32" s="1">
        <v>140</v>
      </c>
    </row>
    <row r="33" spans="1:6">
      <c r="A33" t="s">
        <v>30</v>
      </c>
      <c r="B33" s="1">
        <v>-2170</v>
      </c>
      <c r="C33" s="1">
        <v>-2248</v>
      </c>
      <c r="D33" s="1">
        <v>-2118</v>
      </c>
      <c r="E33" s="1">
        <v>-1515</v>
      </c>
      <c r="F33" s="1">
        <v>-1376</v>
      </c>
    </row>
    <row r="34" spans="1:6">
      <c r="A34" t="s">
        <v>31</v>
      </c>
      <c r="B34" s="6">
        <v>-14822</v>
      </c>
      <c r="C34" s="6">
        <v>-13414</v>
      </c>
      <c r="D34" s="6">
        <v>-17039</v>
      </c>
      <c r="E34" s="6">
        <v>-22828</v>
      </c>
      <c r="F34" s="6">
        <v>-16117</v>
      </c>
    </row>
    <row r="35" spans="1:6">
      <c r="A35" t="s">
        <v>32</v>
      </c>
      <c r="B35" s="1">
        <v>-641</v>
      </c>
      <c r="C35">
        <v>69</v>
      </c>
      <c r="D35">
        <v>-73</v>
      </c>
      <c r="E35">
        <v>-140</v>
      </c>
      <c r="F35" s="1">
        <v>235</v>
      </c>
    </row>
    <row r="36" spans="1:6">
      <c r="A36" t="s">
        <v>33</v>
      </c>
      <c r="B36" s="1">
        <v>-399</v>
      </c>
      <c r="C36" s="1">
        <v>1094</v>
      </c>
      <c r="D36" s="1">
        <v>-5993</v>
      </c>
      <c r="E36" s="1">
        <v>-4802</v>
      </c>
      <c r="F36" s="1">
        <v>10121</v>
      </c>
    </row>
    <row r="37" spans="1:6">
      <c r="A37" t="s">
        <v>34</v>
      </c>
      <c r="E37" s="1">
        <v>1848</v>
      </c>
      <c r="F37" s="1">
        <v>-1848</v>
      </c>
    </row>
    <row r="38" spans="1:6">
      <c r="A38" t="s">
        <v>35</v>
      </c>
      <c r="B38" s="1">
        <v>9935</v>
      </c>
      <c r="C38" s="1">
        <v>8841</v>
      </c>
      <c r="D38" s="1">
        <v>14834</v>
      </c>
      <c r="E38" s="1">
        <v>17788</v>
      </c>
      <c r="F38" s="1">
        <v>9515</v>
      </c>
    </row>
    <row r="39" spans="1:6">
      <c r="A39" t="s">
        <v>36</v>
      </c>
      <c r="B39" s="6">
        <v>9536</v>
      </c>
      <c r="C39" s="6">
        <v>9935</v>
      </c>
      <c r="D39" s="6">
        <v>8841</v>
      </c>
      <c r="E39" s="6">
        <v>14834</v>
      </c>
      <c r="F39" s="6">
        <v>17788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149C-BBA4-4348-B07C-CE4AF7D98C1A}">
  <dimension ref="A1:G36"/>
  <sheetViews>
    <sheetView topLeftCell="A9" zoomScale="113" workbookViewId="0">
      <selection activeCell="D29" sqref="D29"/>
    </sheetView>
  </sheetViews>
  <sheetFormatPr baseColWidth="10" defaultRowHeight="16"/>
  <cols>
    <col min="1" max="1" width="92.6640625" bestFit="1" customWidth="1"/>
    <col min="2" max="2" width="36.1640625" bestFit="1" customWidth="1"/>
    <col min="3" max="3" width="13" customWidth="1"/>
    <col min="4" max="4" width="12.1640625" customWidth="1"/>
    <col min="5" max="5" width="10.1640625" customWidth="1"/>
  </cols>
  <sheetData>
    <row r="1" spans="1:7">
      <c r="B1" t="s">
        <v>37</v>
      </c>
    </row>
    <row r="2" spans="1:7">
      <c r="D2" t="s">
        <v>38</v>
      </c>
    </row>
    <row r="3" spans="1:7">
      <c r="A3" s="15" t="s">
        <v>39</v>
      </c>
      <c r="B3" s="15"/>
      <c r="C3" s="15">
        <v>2025</v>
      </c>
      <c r="D3" s="15">
        <v>2024</v>
      </c>
      <c r="E3" s="15">
        <v>2023</v>
      </c>
      <c r="F3" s="15">
        <v>2022</v>
      </c>
      <c r="G3" s="15">
        <v>2021</v>
      </c>
    </row>
    <row r="5" spans="1:7">
      <c r="A5" t="s">
        <v>40</v>
      </c>
      <c r="C5" s="1">
        <v>9037</v>
      </c>
      <c r="D5" s="1">
        <v>9867</v>
      </c>
      <c r="E5" s="1">
        <v>8625</v>
      </c>
      <c r="F5" s="1">
        <v>14760</v>
      </c>
      <c r="G5" s="1">
        <v>17741</v>
      </c>
    </row>
    <row r="6" spans="1:7">
      <c r="A6" t="s">
        <v>9</v>
      </c>
      <c r="C6" s="1">
        <v>9975</v>
      </c>
      <c r="D6" s="1">
        <v>8796</v>
      </c>
      <c r="E6" s="1">
        <v>7933</v>
      </c>
      <c r="F6" s="1">
        <v>8280</v>
      </c>
      <c r="G6" s="1">
        <v>6516</v>
      </c>
    </row>
    <row r="7" spans="1:7">
      <c r="A7" t="s">
        <v>10</v>
      </c>
      <c r="C7" s="1">
        <v>56435</v>
      </c>
      <c r="D7" s="1">
        <v>54892</v>
      </c>
      <c r="E7" s="1">
        <v>56576</v>
      </c>
      <c r="F7" s="1">
        <v>56511</v>
      </c>
      <c r="G7" s="1">
        <v>44949</v>
      </c>
    </row>
    <row r="8" spans="1:7">
      <c r="A8" t="s">
        <v>41</v>
      </c>
      <c r="C8" s="1">
        <v>4011</v>
      </c>
      <c r="D8" s="1">
        <v>3322</v>
      </c>
      <c r="E8" s="1">
        <v>2521</v>
      </c>
      <c r="F8" s="1">
        <v>1519</v>
      </c>
      <c r="G8" s="1">
        <v>20861</v>
      </c>
    </row>
    <row r="9" spans="1:7">
      <c r="A9" s="10" t="s">
        <v>42</v>
      </c>
      <c r="B9" s="17"/>
      <c r="C9" s="7">
        <v>79458</v>
      </c>
      <c r="D9" s="7">
        <v>76877</v>
      </c>
      <c r="E9" s="7">
        <v>75655</v>
      </c>
      <c r="F9" s="7">
        <v>81070</v>
      </c>
      <c r="G9" s="7">
        <v>90067</v>
      </c>
    </row>
    <row r="10" spans="1:7">
      <c r="A10" t="s">
        <v>43</v>
      </c>
      <c r="C10" s="1">
        <v>119993</v>
      </c>
      <c r="D10" s="1">
        <v>110810</v>
      </c>
      <c r="E10" s="1">
        <v>100760</v>
      </c>
      <c r="F10" s="1">
        <v>94515</v>
      </c>
      <c r="G10" s="1">
        <v>92201</v>
      </c>
    </row>
    <row r="11" spans="1:7">
      <c r="A11" t="s">
        <v>44</v>
      </c>
      <c r="C11" s="1">
        <v>13599</v>
      </c>
      <c r="D11" s="1">
        <v>13673</v>
      </c>
      <c r="E11" s="1">
        <v>13555</v>
      </c>
      <c r="F11" s="1">
        <v>13758</v>
      </c>
      <c r="G11" s="1">
        <v>13642</v>
      </c>
    </row>
    <row r="12" spans="1:7">
      <c r="A12" t="s">
        <v>45</v>
      </c>
      <c r="C12" s="1">
        <v>6112</v>
      </c>
      <c r="D12" s="1">
        <v>5855</v>
      </c>
      <c r="E12" s="1">
        <v>4919</v>
      </c>
      <c r="F12" s="1">
        <v>4351</v>
      </c>
      <c r="G12" s="1">
        <v>4005</v>
      </c>
    </row>
    <row r="13" spans="1:7">
      <c r="A13" t="s">
        <v>46</v>
      </c>
      <c r="C13" s="1">
        <v>28792</v>
      </c>
      <c r="D13" s="1">
        <v>28113</v>
      </c>
      <c r="E13" s="1">
        <v>28174</v>
      </c>
      <c r="F13" s="1">
        <v>29014</v>
      </c>
      <c r="G13" s="1">
        <v>28983</v>
      </c>
    </row>
    <row r="14" spans="1:7">
      <c r="A14" t="s">
        <v>47</v>
      </c>
      <c r="C14" s="1">
        <v>12869</v>
      </c>
      <c r="D14" s="1">
        <v>17071</v>
      </c>
      <c r="E14" s="1">
        <v>20134</v>
      </c>
      <c r="F14" s="1">
        <v>22152</v>
      </c>
      <c r="G14" s="1">
        <v>23598</v>
      </c>
    </row>
    <row r="15" spans="1:7">
      <c r="A15" s="17" t="s">
        <v>48</v>
      </c>
      <c r="B15" s="17"/>
      <c r="C15" s="6">
        <v>260823</v>
      </c>
      <c r="D15" s="6">
        <v>252399</v>
      </c>
      <c r="E15" s="6">
        <v>243197</v>
      </c>
      <c r="F15" s="6">
        <v>244860</v>
      </c>
      <c r="G15" s="6">
        <v>252496</v>
      </c>
    </row>
    <row r="16" spans="1:7">
      <c r="A16" t="s">
        <v>49</v>
      </c>
      <c r="C16" s="1">
        <v>3068</v>
      </c>
      <c r="D16">
        <v>878</v>
      </c>
      <c r="E16">
        <v>372</v>
      </c>
      <c r="F16" s="1">
        <v>410</v>
      </c>
      <c r="G16" s="1">
        <v>224</v>
      </c>
    </row>
    <row r="17" spans="1:7">
      <c r="A17" t="s">
        <v>11</v>
      </c>
      <c r="C17" s="1">
        <v>58666</v>
      </c>
      <c r="D17" s="1">
        <v>56812</v>
      </c>
      <c r="E17" s="1">
        <v>53742</v>
      </c>
      <c r="F17" s="1">
        <v>55261</v>
      </c>
      <c r="G17" s="1">
        <v>49141</v>
      </c>
    </row>
    <row r="18" spans="1:7">
      <c r="A18" t="s">
        <v>12</v>
      </c>
      <c r="C18" s="1">
        <v>29345</v>
      </c>
      <c r="D18" s="1">
        <v>28759</v>
      </c>
      <c r="E18" s="1">
        <v>31126</v>
      </c>
      <c r="F18" s="1">
        <v>26060</v>
      </c>
      <c r="G18" s="1">
        <v>37966</v>
      </c>
    </row>
    <row r="19" spans="1:7">
      <c r="A19" t="s">
        <v>13</v>
      </c>
      <c r="C19" s="1">
        <v>608</v>
      </c>
      <c r="D19">
        <v>307</v>
      </c>
      <c r="E19">
        <v>727</v>
      </c>
      <c r="F19" s="1">
        <v>851</v>
      </c>
      <c r="G19" s="1">
        <v>242</v>
      </c>
    </row>
    <row r="20" spans="1:7">
      <c r="A20" t="s">
        <v>50</v>
      </c>
      <c r="C20" s="1">
        <v>2598</v>
      </c>
      <c r="D20" s="1">
        <v>3447</v>
      </c>
      <c r="E20" s="1">
        <v>4191</v>
      </c>
      <c r="F20" s="1">
        <v>2803</v>
      </c>
      <c r="G20" s="1">
        <v>3115</v>
      </c>
    </row>
    <row r="21" spans="1:7">
      <c r="A21" t="s">
        <v>51</v>
      </c>
      <c r="C21" s="1">
        <v>1499</v>
      </c>
      <c r="D21" s="1">
        <v>1487</v>
      </c>
      <c r="E21" s="1">
        <v>1473</v>
      </c>
      <c r="F21" s="1">
        <v>1483</v>
      </c>
      <c r="G21" s="1">
        <v>1466</v>
      </c>
    </row>
    <row r="22" spans="1:7">
      <c r="A22" t="s">
        <v>52</v>
      </c>
      <c r="C22" s="1">
        <v>800</v>
      </c>
      <c r="D22">
        <v>725</v>
      </c>
      <c r="E22">
        <v>567</v>
      </c>
      <c r="F22" s="1">
        <v>511</v>
      </c>
      <c r="G22" s="1">
        <v>491</v>
      </c>
    </row>
    <row r="23" spans="1:7">
      <c r="A23" s="10" t="s">
        <v>53</v>
      </c>
      <c r="B23" s="10"/>
      <c r="C23" s="6">
        <v>96584</v>
      </c>
      <c r="D23" s="6">
        <v>92415</v>
      </c>
      <c r="E23" s="6">
        <v>92198</v>
      </c>
      <c r="F23" s="6">
        <v>87379</v>
      </c>
      <c r="G23" s="6">
        <v>92645</v>
      </c>
    </row>
    <row r="24" spans="1:7">
      <c r="A24" t="s">
        <v>54</v>
      </c>
      <c r="C24" s="1">
        <v>33401</v>
      </c>
      <c r="D24" s="1">
        <v>36132</v>
      </c>
      <c r="E24" s="1">
        <v>34649</v>
      </c>
      <c r="F24" s="1">
        <v>34864</v>
      </c>
      <c r="G24" s="1">
        <v>41194</v>
      </c>
    </row>
    <row r="25" spans="1:7">
      <c r="A25" t="s">
        <v>55</v>
      </c>
      <c r="C25" s="1">
        <v>12825</v>
      </c>
      <c r="D25" s="1">
        <v>12943</v>
      </c>
      <c r="E25" s="1">
        <v>12828</v>
      </c>
      <c r="F25" s="1">
        <v>13009</v>
      </c>
      <c r="G25" s="1">
        <v>12909</v>
      </c>
    </row>
    <row r="26" spans="1:7">
      <c r="A26" t="s">
        <v>56</v>
      </c>
      <c r="C26" s="1">
        <v>5923</v>
      </c>
      <c r="D26" s="1">
        <v>5709</v>
      </c>
      <c r="E26" s="1">
        <v>4843</v>
      </c>
      <c r="F26" s="1">
        <v>4243</v>
      </c>
      <c r="G26" s="1">
        <v>3847</v>
      </c>
    </row>
    <row r="27" spans="1:7">
      <c r="A27" t="s">
        <v>57</v>
      </c>
      <c r="C27" s="1">
        <v>14398</v>
      </c>
      <c r="D27" s="1">
        <v>14629</v>
      </c>
      <c r="E27" s="1">
        <v>14688</v>
      </c>
      <c r="F27" s="1">
        <v>13474</v>
      </c>
      <c r="G27" s="1">
        <v>14370</v>
      </c>
    </row>
    <row r="28" spans="1:7">
      <c r="A28" t="s">
        <v>58</v>
      </c>
      <c r="C28" s="1">
        <v>271</v>
      </c>
      <c r="D28">
        <v>222</v>
      </c>
      <c r="E28">
        <v>237</v>
      </c>
      <c r="F28" s="1">
        <v>0</v>
      </c>
    </row>
    <row r="29" spans="1:7">
      <c r="A29" t="s">
        <v>59</v>
      </c>
      <c r="C29" s="1">
        <v>802</v>
      </c>
      <c r="D29">
        <v>805</v>
      </c>
      <c r="E29">
        <v>269</v>
      </c>
      <c r="F29" s="1">
        <v>276</v>
      </c>
      <c r="G29" s="1">
        <v>282</v>
      </c>
    </row>
    <row r="30" spans="1:7">
      <c r="A30" t="s">
        <v>60</v>
      </c>
      <c r="C30" s="1">
        <v>5503</v>
      </c>
      <c r="D30" s="1">
        <v>4544</v>
      </c>
      <c r="E30" s="1">
        <v>4969</v>
      </c>
      <c r="F30" s="1">
        <v>4839</v>
      </c>
      <c r="G30" s="1">
        <v>3646</v>
      </c>
    </row>
    <row r="31" spans="1:7">
      <c r="A31" t="s">
        <v>61</v>
      </c>
      <c r="C31" s="1">
        <v>98313</v>
      </c>
      <c r="D31" s="1">
        <v>89814</v>
      </c>
      <c r="E31" s="1">
        <v>83135</v>
      </c>
      <c r="F31" s="1">
        <v>86904</v>
      </c>
      <c r="G31" s="1">
        <v>88763</v>
      </c>
    </row>
    <row r="32" spans="1:7">
      <c r="A32" t="s">
        <v>62</v>
      </c>
      <c r="C32" s="1">
        <v>-13605</v>
      </c>
      <c r="D32" s="1">
        <v>-11302</v>
      </c>
      <c r="E32" s="1">
        <v>-11680</v>
      </c>
      <c r="F32" s="1">
        <v>-8766</v>
      </c>
      <c r="G32" s="1">
        <v>-11766</v>
      </c>
    </row>
    <row r="33" spans="1:7">
      <c r="A33" t="s">
        <v>63</v>
      </c>
      <c r="C33" s="1">
        <v>91013</v>
      </c>
      <c r="D33" s="1">
        <v>83861</v>
      </c>
      <c r="E33" s="1">
        <v>76693</v>
      </c>
      <c r="F33" s="1">
        <v>83253</v>
      </c>
      <c r="G33" s="1">
        <v>80925</v>
      </c>
    </row>
    <row r="34" spans="1:7">
      <c r="A34" t="s">
        <v>64</v>
      </c>
      <c r="C34" s="1">
        <v>6408</v>
      </c>
      <c r="D34" s="1">
        <v>6488</v>
      </c>
      <c r="E34" s="1">
        <v>7061</v>
      </c>
      <c r="F34" s="1">
        <v>8638</v>
      </c>
      <c r="G34" s="1">
        <v>6606</v>
      </c>
    </row>
    <row r="35" spans="1:7">
      <c r="A35" t="s">
        <v>65</v>
      </c>
      <c r="C35" s="1">
        <v>97421</v>
      </c>
      <c r="D35" s="1">
        <v>90349</v>
      </c>
      <c r="E35" s="1">
        <v>83754</v>
      </c>
      <c r="F35" s="1">
        <v>91891</v>
      </c>
      <c r="G35" s="1">
        <v>87531</v>
      </c>
    </row>
    <row r="36" spans="1:7">
      <c r="A36" s="17" t="s">
        <v>66</v>
      </c>
      <c r="B36" s="17"/>
      <c r="C36" s="6">
        <v>260823</v>
      </c>
      <c r="D36" s="6">
        <v>252399</v>
      </c>
      <c r="E36" s="6">
        <v>243197</v>
      </c>
      <c r="F36" s="6">
        <v>244860</v>
      </c>
      <c r="G36" s="6">
        <v>252496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BA4B-E9C4-354B-B0A9-6AA6B84CBEA7}">
  <dimension ref="A1:G27"/>
  <sheetViews>
    <sheetView workbookViewId="0">
      <selection activeCell="D6" sqref="D6"/>
    </sheetView>
  </sheetViews>
  <sheetFormatPr baseColWidth="10" defaultRowHeight="16"/>
  <cols>
    <col min="1" max="1" width="77" bestFit="1" customWidth="1"/>
    <col min="2" max="2" width="30.33203125" bestFit="1" customWidth="1"/>
    <col min="3" max="6" width="7.6640625" bestFit="1" customWidth="1"/>
  </cols>
  <sheetData>
    <row r="1" spans="1:7">
      <c r="B1" t="s">
        <v>67</v>
      </c>
    </row>
    <row r="2" spans="1:7">
      <c r="B2" t="s">
        <v>68</v>
      </c>
    </row>
    <row r="4" spans="1:7">
      <c r="A4" t="s">
        <v>69</v>
      </c>
      <c r="B4" s="15"/>
      <c r="C4" s="15">
        <v>2025</v>
      </c>
      <c r="D4" s="16">
        <v>2024</v>
      </c>
      <c r="E4" s="16">
        <v>2023</v>
      </c>
      <c r="F4" s="16">
        <v>2022</v>
      </c>
      <c r="G4" s="16">
        <v>2021</v>
      </c>
    </row>
    <row r="5" spans="1:7">
      <c r="D5" s="3"/>
      <c r="E5" s="3"/>
      <c r="F5" s="3"/>
    </row>
    <row r="6" spans="1:7">
      <c r="A6" t="s">
        <v>70</v>
      </c>
      <c r="C6" s="1">
        <v>674538</v>
      </c>
      <c r="D6" s="4">
        <v>642637</v>
      </c>
      <c r="E6" s="4">
        <v>605881</v>
      </c>
      <c r="F6" s="4">
        <v>567762</v>
      </c>
      <c r="G6" s="1">
        <v>555233</v>
      </c>
    </row>
    <row r="7" spans="1:7">
      <c r="A7" t="s">
        <v>71</v>
      </c>
      <c r="C7" s="1">
        <v>6447</v>
      </c>
      <c r="D7" s="4">
        <v>5488</v>
      </c>
      <c r="E7" s="4">
        <v>5408</v>
      </c>
      <c r="F7" s="4">
        <v>4992</v>
      </c>
      <c r="G7" s="1">
        <v>3918</v>
      </c>
    </row>
    <row r="8" spans="1:7">
      <c r="A8" s="17" t="s">
        <v>72</v>
      </c>
      <c r="B8" s="10"/>
      <c r="C8" s="6">
        <v>680985</v>
      </c>
      <c r="D8" s="11">
        <v>648125</v>
      </c>
      <c r="E8" s="11">
        <v>611289</v>
      </c>
      <c r="F8" s="11">
        <v>572754</v>
      </c>
      <c r="G8" s="6">
        <v>559151</v>
      </c>
    </row>
    <row r="9" spans="1:7">
      <c r="A9" t="s">
        <v>73</v>
      </c>
      <c r="C9">
        <v>511753</v>
      </c>
      <c r="D9" s="4">
        <v>490142</v>
      </c>
      <c r="E9" s="4">
        <v>463721</v>
      </c>
      <c r="F9" s="4">
        <v>429000</v>
      </c>
      <c r="G9" s="1">
        <v>420315</v>
      </c>
    </row>
    <row r="10" spans="1:7">
      <c r="A10" t="s">
        <v>74</v>
      </c>
      <c r="C10" s="1">
        <v>139884</v>
      </c>
      <c r="D10" s="4">
        <v>130971</v>
      </c>
      <c r="E10" s="4">
        <v>127140</v>
      </c>
      <c r="F10" s="4">
        <v>117812</v>
      </c>
      <c r="G10" s="1">
        <v>116288</v>
      </c>
    </row>
    <row r="11" spans="1:7">
      <c r="A11" s="17" t="s">
        <v>75</v>
      </c>
      <c r="B11" s="10"/>
      <c r="C11" s="6">
        <v>29348</v>
      </c>
      <c r="D11" s="11">
        <v>27012</v>
      </c>
      <c r="E11" s="11">
        <v>20428</v>
      </c>
      <c r="F11" s="11">
        <v>25942</v>
      </c>
      <c r="G11" s="6">
        <v>22548</v>
      </c>
    </row>
    <row r="12" spans="1:7">
      <c r="A12" t="s">
        <v>76</v>
      </c>
      <c r="C12" s="1">
        <v>2249</v>
      </c>
      <c r="D12" s="4">
        <v>2259</v>
      </c>
      <c r="E12" s="4">
        <v>1787</v>
      </c>
      <c r="F12" s="4">
        <v>1674</v>
      </c>
      <c r="G12" s="1">
        <v>1976</v>
      </c>
    </row>
    <row r="13" spans="1:7">
      <c r="A13" t="s">
        <v>77</v>
      </c>
      <c r="C13">
        <v>479</v>
      </c>
      <c r="D13" s="3">
        <v>424</v>
      </c>
      <c r="E13" s="3">
        <v>341</v>
      </c>
      <c r="F13" s="3">
        <v>320</v>
      </c>
      <c r="G13" s="1">
        <v>339</v>
      </c>
    </row>
    <row r="14" spans="1:7">
      <c r="A14" t="s">
        <v>78</v>
      </c>
      <c r="C14">
        <v>-483</v>
      </c>
      <c r="D14" s="3">
        <v>-546</v>
      </c>
      <c r="E14" s="3">
        <v>-254</v>
      </c>
      <c r="F14" s="3">
        <v>-158</v>
      </c>
      <c r="G14" s="1">
        <v>-121</v>
      </c>
    </row>
    <row r="15" spans="1:7">
      <c r="A15" t="s">
        <v>79</v>
      </c>
      <c r="C15" s="1">
        <v>2245</v>
      </c>
      <c r="D15" s="4">
        <v>2137</v>
      </c>
      <c r="E15" s="4">
        <v>1874</v>
      </c>
      <c r="F15" s="4">
        <v>1836</v>
      </c>
      <c r="G15" s="1">
        <v>2194</v>
      </c>
    </row>
    <row r="16" spans="1:7">
      <c r="A16" t="s">
        <v>7</v>
      </c>
      <c r="D16" s="3"/>
      <c r="E16" s="3"/>
      <c r="F16" s="4">
        <v>2410</v>
      </c>
    </row>
    <row r="17" spans="1:7">
      <c r="A17" t="s">
        <v>80</v>
      </c>
      <c r="C17">
        <v>794</v>
      </c>
      <c r="D17" s="4">
        <v>3027</v>
      </c>
      <c r="E17" s="4">
        <v>1538</v>
      </c>
      <c r="F17" s="4">
        <v>3000</v>
      </c>
      <c r="G17" s="1">
        <v>210</v>
      </c>
    </row>
    <row r="18" spans="1:7">
      <c r="A18" s="17" t="s">
        <v>81</v>
      </c>
      <c r="B18" s="10"/>
      <c r="C18" s="6">
        <v>26309</v>
      </c>
      <c r="D18" s="11">
        <v>21848</v>
      </c>
      <c r="E18" s="11">
        <v>17016</v>
      </c>
      <c r="F18" s="11">
        <v>18696</v>
      </c>
      <c r="G18" s="6">
        <v>20564</v>
      </c>
    </row>
    <row r="19" spans="1:7">
      <c r="A19" t="s">
        <v>82</v>
      </c>
      <c r="C19" s="1">
        <v>6152</v>
      </c>
      <c r="D19" s="4">
        <v>5578</v>
      </c>
      <c r="E19" s="4">
        <v>5724</v>
      </c>
      <c r="F19" s="4">
        <v>4756</v>
      </c>
      <c r="G19" s="1">
        <v>6858</v>
      </c>
    </row>
    <row r="20" spans="1:7">
      <c r="A20" s="17" t="s">
        <v>83</v>
      </c>
      <c r="B20" s="10"/>
      <c r="C20" s="6">
        <v>20157</v>
      </c>
      <c r="D20" s="11">
        <v>16270</v>
      </c>
      <c r="E20" s="11">
        <v>11292</v>
      </c>
      <c r="F20" s="11">
        <v>13940</v>
      </c>
      <c r="G20" s="6">
        <v>13706</v>
      </c>
    </row>
    <row r="21" spans="1:7">
      <c r="A21" t="s">
        <v>84</v>
      </c>
      <c r="C21">
        <v>-721</v>
      </c>
      <c r="D21" s="3">
        <v>-759</v>
      </c>
      <c r="E21" s="3">
        <v>388</v>
      </c>
      <c r="F21" s="3">
        <v>-267</v>
      </c>
      <c r="G21" s="3">
        <v>-196</v>
      </c>
    </row>
    <row r="22" spans="1:7">
      <c r="A22" s="17" t="s">
        <v>85</v>
      </c>
      <c r="B22" s="10"/>
      <c r="C22" s="6">
        <v>19436</v>
      </c>
      <c r="D22" s="11">
        <v>15511</v>
      </c>
      <c r="E22" s="11">
        <v>11680</v>
      </c>
      <c r="F22" s="11">
        <v>13673</v>
      </c>
      <c r="G22" s="6">
        <v>13510</v>
      </c>
    </row>
    <row r="23" spans="1:7">
      <c r="A23" t="s">
        <v>86</v>
      </c>
      <c r="C23" s="14">
        <v>2.42</v>
      </c>
      <c r="D23" s="3">
        <v>1.92</v>
      </c>
      <c r="E23" s="3">
        <v>1.43</v>
      </c>
      <c r="F23" s="3">
        <v>1.63</v>
      </c>
      <c r="G23" s="14">
        <v>4.7699999999999996</v>
      </c>
    </row>
    <row r="24" spans="1:7">
      <c r="A24" t="s">
        <v>87</v>
      </c>
      <c r="C24">
        <v>2.41</v>
      </c>
      <c r="D24" s="3">
        <v>1.91</v>
      </c>
      <c r="E24" s="3">
        <v>1.42</v>
      </c>
      <c r="F24" s="3">
        <v>1.62</v>
      </c>
      <c r="G24" s="14">
        <v>4.75</v>
      </c>
    </row>
    <row r="25" spans="1:7">
      <c r="A25" t="s">
        <v>88</v>
      </c>
      <c r="C25" s="1">
        <v>8041</v>
      </c>
      <c r="D25" s="4">
        <v>8077</v>
      </c>
      <c r="E25" s="4">
        <v>8171</v>
      </c>
      <c r="F25" s="4">
        <v>8376</v>
      </c>
      <c r="G25" s="12">
        <v>2831</v>
      </c>
    </row>
    <row r="26" spans="1:7">
      <c r="A26" t="s">
        <v>89</v>
      </c>
      <c r="C26" s="1">
        <v>8081</v>
      </c>
      <c r="D26" s="4">
        <v>8108</v>
      </c>
      <c r="E26" s="4">
        <v>8202</v>
      </c>
      <c r="F26" s="4">
        <v>8415</v>
      </c>
      <c r="G26" s="12">
        <v>2847</v>
      </c>
    </row>
    <row r="27" spans="1:7">
      <c r="A27" t="s">
        <v>90</v>
      </c>
      <c r="C27" s="13">
        <v>0.83</v>
      </c>
      <c r="D27" s="3">
        <v>0.76</v>
      </c>
      <c r="E27" s="3">
        <v>0.74670000000000003</v>
      </c>
      <c r="F27" s="3">
        <v>0.73329999999999995</v>
      </c>
      <c r="G27" s="14">
        <v>2.16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76BD9-7E33-F346-9E09-CC2DE28A509C}">
  <dimension ref="A1:M58"/>
  <sheetViews>
    <sheetView tabSelected="1" topLeftCell="A5" zoomScale="75" workbookViewId="0">
      <selection activeCell="F23" sqref="F23"/>
    </sheetView>
  </sheetViews>
  <sheetFormatPr baseColWidth="10" defaultRowHeight="16"/>
  <cols>
    <col min="1" max="1" width="55.5" customWidth="1"/>
    <col min="2" max="2" width="14" customWidth="1"/>
    <col min="3" max="3" width="12.1640625" customWidth="1"/>
    <col min="4" max="4" width="13" customWidth="1"/>
    <col min="5" max="5" width="11" customWidth="1"/>
    <col min="6" max="6" width="12.1640625" customWidth="1"/>
  </cols>
  <sheetData>
    <row r="1" spans="1:6" ht="35" thickBot="1">
      <c r="A1" s="2" t="s">
        <v>91</v>
      </c>
    </row>
    <row r="2" spans="1:6" ht="28" thickBot="1">
      <c r="A2" t="s">
        <v>219</v>
      </c>
      <c r="B2" s="60">
        <v>2025</v>
      </c>
      <c r="C2" s="61">
        <v>2024</v>
      </c>
      <c r="D2" s="61">
        <v>2023</v>
      </c>
      <c r="E2" s="61">
        <v>2022</v>
      </c>
      <c r="F2" s="62">
        <v>2021</v>
      </c>
    </row>
    <row r="3" spans="1:6" ht="19">
      <c r="A3" s="72" t="s">
        <v>92</v>
      </c>
      <c r="B3" s="91">
        <f>('WALMART-Income Statement'!C6-'WALMART-Income Statement'!C9)/'WALMART-Income Statement'!C6</f>
        <v>0.24132813866676156</v>
      </c>
      <c r="C3" s="92">
        <f>('WALMART-Income Statement'!D6-'WALMART-Income Statement'!D9)/'WALMART-Income Statement'!D6</f>
        <v>0.23729570504032604</v>
      </c>
      <c r="D3" s="92">
        <f>('WALMART-Income Statement'!E6-'WALMART-Income Statement'!E9)/'WALMART-Income Statement'!E6</f>
        <v>0.23463353364769649</v>
      </c>
      <c r="E3" s="92">
        <f>('WALMART-Income Statement'!F6-'WALMART-Income Statement'!F9)/'WALMART-Income Statement'!F6</f>
        <v>0.24440170353070476</v>
      </c>
      <c r="F3" s="93">
        <f>('WALMART-Income Statement'!G6-'WALMART-Income Statement'!G9)/'WALMART-Income Statement'!G6</f>
        <v>0.24299348201565829</v>
      </c>
    </row>
    <row r="4" spans="1:6" ht="19">
      <c r="A4" s="72" t="s">
        <v>93</v>
      </c>
      <c r="B4" s="40">
        <f>'WALMART-Income Statement'!C11/'WALMART-Income Statement'!C6</f>
        <v>4.3508297531050885E-2</v>
      </c>
      <c r="C4" s="32">
        <f>'WALMART-Income Statement'!D11/'WALMART-Income Statement'!D6</f>
        <v>4.2033060654770887E-2</v>
      </c>
      <c r="D4" s="32">
        <f>'WALMART-Income Statement'!E11/'WALMART-Income Statement'!E6</f>
        <v>3.3716191793437988E-2</v>
      </c>
      <c r="E4" s="32">
        <f>'WALMART-Income Statement'!F11/'WALMART-Income Statement'!F6</f>
        <v>4.5691680669012719E-2</v>
      </c>
      <c r="F4" s="41">
        <f>'WALMART-Income Statement'!G11/'WALMART-Income Statement'!G6</f>
        <v>4.0609978153315816E-2</v>
      </c>
    </row>
    <row r="5" spans="1:6" ht="19">
      <c r="A5" s="72" t="s">
        <v>94</v>
      </c>
      <c r="B5" s="42">
        <f>'WALMART-Income Statement'!C22/'WALMART-Income Statement'!C6</f>
        <v>2.881379551633859E-2</v>
      </c>
      <c r="C5" s="33">
        <f>'WALMART-Income Statement'!D22/'WALMART-Income Statement'!D6</f>
        <v>2.4136487628318944E-2</v>
      </c>
      <c r="D5" s="33">
        <f>'WALMART-Income Statement'!E22/'WALMART-Income Statement'!E6</f>
        <v>1.9277712950232801E-2</v>
      </c>
      <c r="E5" s="33">
        <f>'WALMART-Income Statement'!F22/'WALMART-Income Statement'!F6</f>
        <v>2.4082273910547024E-2</v>
      </c>
      <c r="F5" s="43">
        <f>'WALMART-Income Statement'!G22/'WALMART-Income Statement'!G6</f>
        <v>2.4332127233071522E-2</v>
      </c>
    </row>
    <row r="6" spans="1:6" ht="19">
      <c r="B6" s="44"/>
      <c r="C6" s="34"/>
      <c r="D6" s="34"/>
      <c r="E6" s="34"/>
      <c r="F6" s="45"/>
    </row>
    <row r="7" spans="1:6" ht="34">
      <c r="A7" s="2" t="s">
        <v>95</v>
      </c>
      <c r="B7" s="44"/>
      <c r="C7" s="34"/>
      <c r="D7" s="34"/>
      <c r="E7" s="34"/>
      <c r="F7" s="45"/>
    </row>
    <row r="8" spans="1:6" ht="19">
      <c r="A8" s="72" t="s">
        <v>96</v>
      </c>
      <c r="B8" s="46">
        <f>('WALMART-Balance Sheet'!C6/'WALMART-Income Statement'!C6)*365</f>
        <v>5.3975832347473389</v>
      </c>
      <c r="C8" s="35">
        <f>('WALMART-Balance Sheet'!D6/'WALMART-Income Statement'!D6)*365</f>
        <v>4.9958841461042542</v>
      </c>
      <c r="D8" s="35">
        <f>('WALMART-Balance Sheet'!E6/'WALMART-Income Statement'!E6)*365</f>
        <v>4.779065526068651</v>
      </c>
      <c r="E8" s="35">
        <f>('WALMART-Balance Sheet'!F6/'WALMART-Income Statement'!F6)*365</f>
        <v>5.3230050619801954</v>
      </c>
      <c r="F8" s="47">
        <f>('WALMART-Balance Sheet'!G6/'WALMART-Income Statement'!G6)*365</f>
        <v>4.2834989995191206</v>
      </c>
    </row>
    <row r="9" spans="1:6" ht="19">
      <c r="A9" s="72" t="s">
        <v>97</v>
      </c>
      <c r="B9" s="46">
        <f>('WALMART-Balance Sheet'!C7/'WALMART-Income Statement'!C9)*365</f>
        <v>40.251400578013218</v>
      </c>
      <c r="C9" s="35">
        <f>('WALMART-Balance Sheet'!D7/'WALMART-Income Statement'!D9)*365</f>
        <v>40.877092760873381</v>
      </c>
      <c r="D9" s="35">
        <f>('WALMART-Balance Sheet'!E7/'WALMART-Income Statement'!E9)*365</f>
        <v>44.53160413265735</v>
      </c>
      <c r="E9" s="35">
        <f>('WALMART-Balance Sheet'!F7/'WALMART-Income Statement'!F9)*365</f>
        <v>48.080454545454543</v>
      </c>
      <c r="F9" s="47">
        <f>('WALMART-Balance Sheet'!G7/'WALMART-Income Statement'!G9)*365</f>
        <v>39.033546268869777</v>
      </c>
    </row>
    <row r="10" spans="1:6" ht="19">
      <c r="A10" s="72" t="s">
        <v>113</v>
      </c>
      <c r="B10" s="46">
        <f>('WALMART-Balance Sheet'!C17*365)/'WALMART-Income Statement'!C9</f>
        <v>41.842627204921122</v>
      </c>
      <c r="C10" s="35">
        <f>('WALMART-Balance Sheet'!D17*365)/'WALMART-Income Statement'!D9</f>
        <v>42.306882495276881</v>
      </c>
      <c r="D10" s="35">
        <f>('WALMART-Balance Sheet'!E17*365)/'WALMART-Income Statement'!E9</f>
        <v>42.300930947703471</v>
      </c>
      <c r="E10" s="35">
        <f>('WALMART-Balance Sheet'!F17*365)/'WALMART-Income Statement'!F9</f>
        <v>47.016934731934732</v>
      </c>
      <c r="F10" s="47">
        <f>('WALMART-Balance Sheet'!G17*365)/'WALMART-Income Statement'!G9</f>
        <v>42.673863649881639</v>
      </c>
    </row>
    <row r="11" spans="1:6" ht="19">
      <c r="A11" s="72" t="s">
        <v>98</v>
      </c>
      <c r="B11" s="46">
        <f>'WALMART-Income Statement'!C6/'WALMART-Balance Sheet'!C15</f>
        <v>2.5861906350283528</v>
      </c>
      <c r="C11" s="35">
        <f>'WALMART-Income Statement'!D6/'WALMART-Balance Sheet'!D15</f>
        <v>2.5461154758933278</v>
      </c>
      <c r="D11" s="35">
        <f>'WALMART-Income Statement'!E6/'WALMART-Balance Sheet'!E15</f>
        <v>2.4913177382944691</v>
      </c>
      <c r="E11" s="35">
        <f>'WALMART-Income Statement'!F6/'WALMART-Balance Sheet'!F15</f>
        <v>2.3187209017397699</v>
      </c>
      <c r="F11" s="47">
        <f>'WALMART-Income Statement'!G6/'WALMART-Balance Sheet'!G15</f>
        <v>2.1989774095431214</v>
      </c>
    </row>
    <row r="12" spans="1:6" ht="19">
      <c r="B12" s="44"/>
      <c r="C12" s="34"/>
      <c r="D12" s="34"/>
      <c r="E12" s="34"/>
      <c r="F12" s="45"/>
    </row>
    <row r="13" spans="1:6" ht="34">
      <c r="A13" s="2" t="s">
        <v>99</v>
      </c>
      <c r="B13" s="44"/>
      <c r="C13" s="34"/>
      <c r="D13" s="34"/>
      <c r="E13" s="34"/>
      <c r="F13" s="45"/>
    </row>
    <row r="14" spans="1:6" ht="19">
      <c r="A14" s="72" t="s">
        <v>100</v>
      </c>
      <c r="B14" s="40">
        <f>('WALMART-Balance Sheet'!C16+'WALMART-Balance Sheet'!C24)/'WALMART-Balance Sheet'!C35</f>
        <v>0.37434434054259347</v>
      </c>
      <c r="C14" s="32">
        <f>('WALMART-Balance Sheet'!D16+'WALMART-Balance Sheet'!D24)/'WALMART-Balance Sheet'!D35</f>
        <v>0.4096337535556564</v>
      </c>
      <c r="D14" s="32">
        <f>('WALMART-Balance Sheet'!E16+'WALMART-Balance Sheet'!E24)/'WALMART-Balance Sheet'!E35</f>
        <v>0.41814122310576213</v>
      </c>
      <c r="E14" s="32">
        <f>('WALMART-Balance Sheet'!F16+'WALMART-Balance Sheet'!F24)/'WALMART-Balance Sheet'!F35</f>
        <v>0.38386784342318614</v>
      </c>
      <c r="F14" s="41">
        <f>('WALMART-Balance Sheet'!G16+'WALMART-Balance Sheet'!G24)/'WALMART-Balance Sheet'!G35</f>
        <v>0.47318093018473456</v>
      </c>
    </row>
    <row r="15" spans="1:6" ht="19">
      <c r="A15" s="72" t="s">
        <v>101</v>
      </c>
      <c r="B15" s="48">
        <f>'WALMART-Balance Sheet'!C36/'WALMART-Balance Sheet'!C35</f>
        <v>2.6772769731372086</v>
      </c>
      <c r="C15" s="36">
        <f>'WALMART-Balance Sheet'!D36/'WALMART-Balance Sheet'!D35</f>
        <v>2.7936003718912219</v>
      </c>
      <c r="D15" s="36">
        <f>'WALMART-Balance Sheet'!E36/'WALMART-Balance Sheet'!E35</f>
        <v>2.903706091649354</v>
      </c>
      <c r="E15" s="36">
        <f>'WALMART-Balance Sheet'!F36/'WALMART-Balance Sheet'!F35</f>
        <v>2.6646788042354528</v>
      </c>
      <c r="F15" s="49">
        <f>'WALMART-Balance Sheet'!G36/'WALMART-Balance Sheet'!G35</f>
        <v>2.8846465823536804</v>
      </c>
    </row>
    <row r="16" spans="1:6" ht="19">
      <c r="A16" s="72" t="s">
        <v>102</v>
      </c>
      <c r="B16" s="48">
        <f>'WALMART-Balance Sheet'!C24/'WALMART-Ratios '!B32</f>
        <v>0.24946597953543953</v>
      </c>
      <c r="C16" s="36">
        <f>'WALMART-Balance Sheet'!D24/'WALMART-Ratios '!C32</f>
        <v>0.28370197630320587</v>
      </c>
      <c r="D16" s="36">
        <f>'WALMART-Balance Sheet'!E24/'WALMART-Ratios '!D32</f>
        <v>0.29171963797095346</v>
      </c>
      <c r="E16" s="36">
        <f>'WALMART-Balance Sheet'!F24/'WALMART-Ratios '!E32</f>
        <v>0.274163488381237</v>
      </c>
      <c r="F16" s="49">
        <f>'WALMART-Balance Sheet'!G24/'WALMART-Ratios '!F32</f>
        <v>0.3194596313271138</v>
      </c>
    </row>
    <row r="17" spans="1:13" ht="19">
      <c r="A17" s="72" t="s">
        <v>103</v>
      </c>
      <c r="B17" s="50">
        <f>('WALMART-Balance Sheet'!C16+'WALMART-Balance Sheet'!C24)/('WALMART-Income Statement'!C11+'WALMART-Cash Flow Statements'!B5)</f>
        <v>0.86172349424635519</v>
      </c>
      <c r="C17" s="37">
        <f>('WALMART-Balance Sheet'!D16+'WALMART-Balance Sheet'!D24)/('WALMART-Income Statement'!D11+'WALMART-Cash Flow Statements'!C5)</f>
        <v>0.95227068056091602</v>
      </c>
      <c r="D17" s="37">
        <f>('WALMART-Balance Sheet'!E16+'WALMART-Balance Sheet'!E24)/('WALMART-Income Statement'!E11+'WALMART-Cash Flow Statements'!D5)</f>
        <v>1.1162783284990279</v>
      </c>
      <c r="E17" s="37">
        <f>('WALMART-Balance Sheet'!F16+'WALMART-Balance Sheet'!F24)/('WALMART-Income Statement'!F11+'WALMART-Cash Flow Statements'!E5)</f>
        <v>0.96377049180327867</v>
      </c>
      <c r="F17" s="51">
        <f>('WALMART-Balance Sheet'!G16+'WALMART-Balance Sheet'!G24)/('WALMART-Income Statement'!G11+'WALMART-Cash Flow Statements'!F5)</f>
        <v>1.2290207715133532</v>
      </c>
    </row>
    <row r="18" spans="1:13" ht="19">
      <c r="A18" s="72" t="s">
        <v>104</v>
      </c>
      <c r="B18" s="52">
        <f>'WALMART-Income Statement'!C11/('WALMART-Income Statement'!C15)</f>
        <v>13.072605790645881</v>
      </c>
      <c r="C18" s="38">
        <f>'WALMART-Income Statement'!D11/('WALMART-Income Statement'!D15)</f>
        <v>12.640149742629855</v>
      </c>
      <c r="D18" s="38">
        <f>'WALMART-Income Statement'!E11/('WALMART-Income Statement'!E15)</f>
        <v>10.900747065101388</v>
      </c>
      <c r="E18" s="38">
        <f>'WALMART-Income Statement'!F11/('WALMART-Income Statement'!F15)</f>
        <v>14.12962962962963</v>
      </c>
      <c r="F18" s="53">
        <f>'WALMART-Income Statement'!G11/('WALMART-Income Statement'!G15)</f>
        <v>10.277119416590702</v>
      </c>
    </row>
    <row r="19" spans="1:13" ht="19">
      <c r="A19" s="72" t="s">
        <v>105</v>
      </c>
      <c r="B19" s="50">
        <f>('WALMART-Income Statement'!C11+'WALMART-Cash Flow Statements'!B5)/'WALMART-Income Statement'!C15</f>
        <v>18.851224944320712</v>
      </c>
      <c r="C19" s="37">
        <f>('WALMART-Income Statement'!D11+'WALMART-Cash Flow Statements'!C5)/'WALMART-Income Statement'!D15</f>
        <v>18.186710341600374</v>
      </c>
      <c r="D19" s="37">
        <f>('WALMART-Income Statement'!E11+'WALMART-Cash Flow Statements'!D5)/'WALMART-Income Statement'!E15</f>
        <v>16.741195304162218</v>
      </c>
      <c r="E19" s="37">
        <f>('WALMART-Income Statement'!F11+'WALMART-Cash Flow Statements'!E5)/'WALMART-Income Statement'!F15</f>
        <v>19.934640522875817</v>
      </c>
      <c r="F19" s="51">
        <f>('WALMART-Income Statement'!G11+'WALMART-Cash Flow Statements'!F5)/'WALMART-Income Statement'!G15</f>
        <v>15.36007292616226</v>
      </c>
    </row>
    <row r="20" spans="1:13" ht="19">
      <c r="B20" s="44"/>
      <c r="C20" s="34"/>
      <c r="D20" s="34"/>
      <c r="E20" s="34"/>
      <c r="F20" s="45"/>
    </row>
    <row r="21" spans="1:13" ht="34">
      <c r="A21" s="2" t="s">
        <v>106</v>
      </c>
      <c r="B21" s="44"/>
      <c r="C21" s="34"/>
      <c r="D21" s="34"/>
      <c r="E21" s="34"/>
      <c r="F21" s="45"/>
    </row>
    <row r="22" spans="1:13" ht="19">
      <c r="A22" s="72" t="s">
        <v>107</v>
      </c>
      <c r="B22" s="54">
        <f>'WALMART-Balance Sheet'!C9/'WALMART-Balance Sheet'!C23</f>
        <v>0.82268284602004471</v>
      </c>
      <c r="C22" s="39">
        <f>'WALMART-Balance Sheet'!D9/'WALMART-Balance Sheet'!D23</f>
        <v>0.83186712113834338</v>
      </c>
      <c r="D22" s="39">
        <f>'WALMART-Balance Sheet'!E9/'WALMART-Balance Sheet'!E23</f>
        <v>0.82057094513980777</v>
      </c>
      <c r="E22" s="39">
        <f>'WALMART-Balance Sheet'!F9/'WALMART-Balance Sheet'!F23</f>
        <v>0.92779729683333523</v>
      </c>
      <c r="F22" s="55">
        <f>'WALMART-Balance Sheet'!G9/'WALMART-Balance Sheet'!G23</f>
        <v>0.97217334988396564</v>
      </c>
      <c r="I22" s="1"/>
      <c r="J22" s="1"/>
      <c r="K22" s="1"/>
      <c r="L22" s="1"/>
      <c r="M22" s="1"/>
    </row>
    <row r="23" spans="1:13" ht="19">
      <c r="A23" s="72" t="s">
        <v>108</v>
      </c>
      <c r="B23" s="46">
        <f>('WALMART-Balance Sheet'!C9-'WALMART-Balance Sheet'!C7)/'WALMART-Balance Sheet'!C23</f>
        <v>0.2383728153731467</v>
      </c>
      <c r="C23" s="35">
        <f>('WALMART-Balance Sheet'!D9-'WALMART-Balance Sheet'!D7)/'WALMART-Balance Sheet'!D23</f>
        <v>0.23789428123140183</v>
      </c>
      <c r="D23" s="35">
        <f>('WALMART-Balance Sheet'!E9-'WALMART-Balance Sheet'!E7)/'WALMART-Balance Sheet'!E23</f>
        <v>0.20693507451354692</v>
      </c>
      <c r="E23" s="35">
        <f>('WALMART-Balance Sheet'!F9-'WALMART-Balance Sheet'!F7)/'WALMART-Balance Sheet'!F23</f>
        <v>0.28106295563007128</v>
      </c>
      <c r="F23" s="47">
        <f>('WALMART-Balance Sheet'!G9-'WALMART-Balance Sheet'!G7)/'WALMART-Balance Sheet'!G23</f>
        <v>0.48699875870257436</v>
      </c>
    </row>
    <row r="24" spans="1:13" ht="19">
      <c r="A24" s="72" t="s">
        <v>114</v>
      </c>
      <c r="B24" s="46">
        <f>B8+B9-B10</f>
        <v>3.8063566078394331</v>
      </c>
      <c r="C24" s="35">
        <f t="shared" ref="C24:F24" si="0">C8+C9-C10</f>
        <v>3.5660944117007531</v>
      </c>
      <c r="D24" s="35">
        <f t="shared" si="0"/>
        <v>7.0097387110225284</v>
      </c>
      <c r="E24" s="35">
        <f t="shared" si="0"/>
        <v>6.3865248755000081</v>
      </c>
      <c r="F24" s="47">
        <f t="shared" si="0"/>
        <v>0.6431816185072563</v>
      </c>
    </row>
    <row r="25" spans="1:13" ht="19">
      <c r="B25" s="44"/>
      <c r="C25" s="34"/>
      <c r="D25" s="34"/>
      <c r="E25" s="34"/>
      <c r="F25" s="45"/>
    </row>
    <row r="26" spans="1:13" ht="34">
      <c r="A26" s="2" t="s">
        <v>109</v>
      </c>
      <c r="B26" s="44"/>
      <c r="C26" s="34"/>
      <c r="D26" s="34"/>
      <c r="E26" s="34"/>
      <c r="F26" s="45"/>
    </row>
    <row r="27" spans="1:13" ht="19">
      <c r="A27" s="72" t="s">
        <v>110</v>
      </c>
      <c r="B27" s="40">
        <f>'WALMART-Income Statement'!C22/'WALMART-Balance Sheet'!C35</f>
        <v>0.1995052401432956</v>
      </c>
      <c r="C27" s="32">
        <f>'WALMART-Income Statement'!D22/'WALMART-Balance Sheet'!D35</f>
        <v>0.17167871254800829</v>
      </c>
      <c r="D27" s="32">
        <f>'WALMART-Income Statement'!E22/'WALMART-Balance Sheet'!E35</f>
        <v>0.13945602598084866</v>
      </c>
      <c r="E27" s="32">
        <f>'WALMART-Income Statement'!F22/'WALMART-Balance Sheet'!F35</f>
        <v>0.14879585595977843</v>
      </c>
      <c r="F27" s="41">
        <f>'WALMART-Income Statement'!G22/'WALMART-Balance Sheet'!G35</f>
        <v>0.15434531765888657</v>
      </c>
    </row>
    <row r="28" spans="1:13" ht="19">
      <c r="A28" s="72" t="s">
        <v>111</v>
      </c>
      <c r="B28" s="40">
        <f>'WALMART-Income Statement'!C22/'WALMART-Balance Sheet'!C15</f>
        <v>7.4517968123976791E-2</v>
      </c>
      <c r="C28" s="32">
        <f>'WALMART-Income Statement'!D22/'WALMART-Balance Sheet'!D15</f>
        <v>6.1454284684170697E-2</v>
      </c>
      <c r="D28" s="32">
        <f>'WALMART-Income Statement'!E22/'WALMART-Balance Sheet'!E15</f>
        <v>4.8026908226663979E-2</v>
      </c>
      <c r="E28" s="32">
        <f>'WALMART-Income Statement'!F22/'WALMART-Balance Sheet'!F15</f>
        <v>5.5840071877807727E-2</v>
      </c>
      <c r="F28" s="41">
        <f>'WALMART-Income Statement'!G22/'WALMART-Balance Sheet'!G15</f>
        <v>5.3505798111653256E-2</v>
      </c>
    </row>
    <row r="29" spans="1:13" ht="20" thickBot="1">
      <c r="A29" s="72" t="s">
        <v>112</v>
      </c>
      <c r="B29" s="56">
        <f>('WALMART-Income Statement'!C11*(1-B31)/B32)</f>
        <v>0.16793913954604231</v>
      </c>
      <c r="C29" s="57">
        <f>('WALMART-Income Statement'!D11*(1-C31)/C32)</f>
        <v>0.1579439396063157</v>
      </c>
      <c r="D29" s="57">
        <f>('WALMART-Income Statement'!E11*(1-D31)/D32)</f>
        <v>0.11413378046162947</v>
      </c>
      <c r="E29" s="57">
        <f>('WALMART-Income Statement'!F11*(1-E31)/E32)</f>
        <v>0.15210725669992226</v>
      </c>
      <c r="F29" s="58">
        <f>('WALMART-Income Statement'!G11*(1-F31)/F32)</f>
        <v>0.11654487486566559</v>
      </c>
    </row>
    <row r="31" spans="1:13">
      <c r="A31" t="s">
        <v>115</v>
      </c>
      <c r="B31" s="5">
        <f>'WALMART-Income Statement'!C19/'WALMART-Income Statement'!C18</f>
        <v>0.23383632977308144</v>
      </c>
      <c r="C31" s="5">
        <f>'WALMART-Income Statement'!D19/'WALMART-Income Statement'!D18</f>
        <v>0.25530941047235445</v>
      </c>
      <c r="D31" s="5">
        <f>'WALMART-Income Statement'!E19/'WALMART-Income Statement'!E18</f>
        <v>0.33638928067700985</v>
      </c>
      <c r="E31" s="5">
        <f>'WALMART-Income Statement'!F19/'WALMART-Income Statement'!F18</f>
        <v>0.25438596491228072</v>
      </c>
      <c r="F31" s="5">
        <f>'WALMART-Income Statement'!G19/'WALMART-Income Statement'!G18</f>
        <v>0.33349542890488232</v>
      </c>
    </row>
    <row r="32" spans="1:13">
      <c r="A32" t="s">
        <v>116</v>
      </c>
      <c r="B32" s="1">
        <f>('WALMART-Balance Sheet'!C16+'WALMART-Balance Sheet'!C24+'WALMART-Balance Sheet'!C5+'WALMART-Balance Sheet'!C35)-'WALMART-Balance Sheet'!C5</f>
        <v>133890</v>
      </c>
      <c r="C32" s="1">
        <f>('WALMART-Balance Sheet'!D16+'WALMART-Balance Sheet'!D24+'WALMART-Balance Sheet'!D5+'WALMART-Balance Sheet'!D35)-'WALMART-Balance Sheet'!D5</f>
        <v>127359</v>
      </c>
      <c r="D32" s="1">
        <f>('WALMART-Balance Sheet'!E16+'WALMART-Balance Sheet'!E24+'WALMART-Balance Sheet'!E5+'WALMART-Balance Sheet'!E35)-'WALMART-Balance Sheet'!E5</f>
        <v>118775</v>
      </c>
      <c r="E32" s="1">
        <f>('WALMART-Balance Sheet'!F16+'WALMART-Balance Sheet'!F24+'WALMART-Balance Sheet'!F5+'WALMART-Balance Sheet'!F35)-'WALMART-Balance Sheet'!F5</f>
        <v>127165</v>
      </c>
      <c r="F32" s="1">
        <f>('WALMART-Balance Sheet'!G16+'WALMART-Balance Sheet'!G24+'WALMART-Balance Sheet'!G5+'WALMART-Balance Sheet'!G35)-'WALMART-Balance Sheet'!G5</f>
        <v>128949</v>
      </c>
    </row>
    <row r="34" spans="1:6" ht="35" thickBot="1">
      <c r="A34" s="2" t="s">
        <v>117</v>
      </c>
    </row>
    <row r="35" spans="1:6" ht="19">
      <c r="A35" s="72" t="s">
        <v>118</v>
      </c>
      <c r="B35" s="63">
        <f>'WALMART-Income Statement'!C22/'WALMART-Income Statement'!C25</f>
        <v>2.4171122994652405</v>
      </c>
      <c r="C35" s="64">
        <f>'WALMART-Income Statement'!D22/'WALMART-Income Statement'!D25</f>
        <v>1.9203912343691965</v>
      </c>
      <c r="D35" s="64">
        <f>'WALMART-Income Statement'!E22/'WALMART-Income Statement'!E25</f>
        <v>1.4294456002937217</v>
      </c>
      <c r="E35" s="64">
        <f>'WALMART-Income Statement'!F22/'WALMART-Income Statement'!F25</f>
        <v>1.6324021012416428</v>
      </c>
      <c r="F35" s="65">
        <f>'WALMART-Income Statement'!G22/'WALMART-Income Statement'!G25</f>
        <v>4.7721653126103849</v>
      </c>
    </row>
    <row r="36" spans="1:6" ht="19">
      <c r="A36" s="72" t="s">
        <v>119</v>
      </c>
      <c r="B36" s="44">
        <f ca="1">C43/B35</f>
        <v>41.276526548672564</v>
      </c>
      <c r="C36" s="34">
        <f ca="1">C45/C35</f>
        <v>47.047704854619298</v>
      </c>
      <c r="D36" s="34">
        <f ca="1">C47/D35</f>
        <v>36.762154494863012</v>
      </c>
      <c r="E36" s="34">
        <f ca="1">C47/E35</f>
        <v>32.191517004315074</v>
      </c>
      <c r="F36" s="45">
        <f>C52/F35</f>
        <v>424.12612879348632</v>
      </c>
    </row>
    <row r="37" spans="1:6" ht="19">
      <c r="A37" s="72" t="s">
        <v>120</v>
      </c>
      <c r="B37" s="44">
        <f>'WALMART-Balance Sheet'!C35/'WALMART-Income Statement'!C25</f>
        <v>12.115532893918667</v>
      </c>
      <c r="C37" s="34">
        <f>'WALMART-Balance Sheet'!D35/'WALMART-Income Statement'!D25</f>
        <v>11.185960133713012</v>
      </c>
      <c r="D37" s="34">
        <f>'WALMART-Balance Sheet'!E35/'WALMART-Income Statement'!E25</f>
        <v>10.250152980051402</v>
      </c>
      <c r="E37" s="34">
        <f>'WALMART-Balance Sheet'!F35/'WALMART-Income Statement'!F25</f>
        <v>10.970749761222541</v>
      </c>
      <c r="F37" s="45">
        <f>'WALMART-Balance Sheet'!G35/'WALMART-Income Statement'!G25</f>
        <v>30.918756623101377</v>
      </c>
    </row>
    <row r="38" spans="1:6" ht="19">
      <c r="A38" s="72" t="s">
        <v>121</v>
      </c>
      <c r="B38" s="73">
        <f ca="1">('WALMART-Income Statement'!C27/'WALMART-Ratios '!C43)</f>
        <v>8.3191340082189036E-3</v>
      </c>
      <c r="C38" s="74">
        <f ca="1">('WALMART-Income Statement'!D27/'WALMART-Ratios '!C45)</f>
        <v>8.4117321527393471E-3</v>
      </c>
      <c r="D38" s="74">
        <f ca="1">('WALMART-Income Statement'!E27/'WALMART-Ratios '!C47)</f>
        <v>1.4209459652327805E-2</v>
      </c>
      <c r="E38" s="74">
        <f ca="1">('WALMART-Income Statement'!F27/'WALMART-Ratios '!C49)</f>
        <v>1.551534078526709E-2</v>
      </c>
      <c r="F38" s="75">
        <f>('WALMART-Income Statement'!G27/'WALMART-Ratios '!C52)</f>
        <v>1.0671936758893281E-3</v>
      </c>
    </row>
    <row r="39" spans="1:6" ht="19">
      <c r="A39" s="72" t="s">
        <v>122</v>
      </c>
      <c r="B39" s="66">
        <f ca="1">C43*'WALMART-Income Statement'!C26</f>
        <v>806241.37</v>
      </c>
      <c r="C39" s="67">
        <f ca="1">C45*'WALMART-Income Statement'!D26</f>
        <v>732557.79999999993</v>
      </c>
      <c r="D39" s="67">
        <f ca="1">C47*'WALMART-Income Statement'!E26</f>
        <v>431010.99900000001</v>
      </c>
      <c r="E39" s="67">
        <f ca="1">C49*'WALMART-Income Statement'!F25</f>
        <v>395874.05040000001</v>
      </c>
      <c r="F39" s="68">
        <f>C52*'WALMART-Income Statement'!G26</f>
        <v>5762328</v>
      </c>
    </row>
    <row r="40" spans="1:6" ht="20" thickBot="1">
      <c r="A40" s="72" t="s">
        <v>123</v>
      </c>
      <c r="B40" s="69">
        <f ca="1">(B39+ 'WALMART-Balance Sheet'!C24+'WALMART-Balance Sheet'!C16+'WALMART-Income Statement'!C21-'WALMART-Balance Sheet'!C5)/('WALMART-Income Statement'!C11+'WALMART-Cash Flow Statements'!B5)</f>
        <v>19.681774296448573</v>
      </c>
      <c r="C40" s="70">
        <f ca="1">(C39+ 'WALMART-Balance Sheet'!D24+'WALMART-Balance Sheet'!D16+'WALMART-Income Statement'!D21-'WALMART-Balance Sheet'!D5)/('WALMART-Income Statement'!D11+'WALMART-Cash Flow Statements'!C5)</f>
        <v>19.52764183712852</v>
      </c>
      <c r="D40" s="70">
        <f ca="1">(D39+ 'WALMART-Balance Sheet'!E24+'WALMART-Balance Sheet'!E16+'WALMART-Income Statement'!E21-'WALMART-Balance Sheet'!E5)/('WALMART-Income Statement'!E11+'WALMART-Cash Flow Statements'!D5)</f>
        <v>14.592005833041151</v>
      </c>
      <c r="E40" s="70">
        <f ca="1">(E39+ 'WALMART-Balance Sheet'!F24+'WALMART-Balance Sheet'!F16+'WALMART-Income Statement'!F21-'WALMART-Balance Sheet'!F5)/('WALMART-Income Statement'!F11+'WALMART-Cash Flow Statements'!E5)</f>
        <v>11.369427606557377</v>
      </c>
      <c r="F40" s="71">
        <f>(F39+ 'WALMART-Balance Sheet'!G24+'WALMART-Balance Sheet'!G16+'WALMART-Income Statement'!G21-'WALMART-Balance Sheet'!G5)/('WALMART-Income Statement'!G11+'WALMART-Cash Flow Statements'!F5)</f>
        <v>171.68572700296735</v>
      </c>
    </row>
    <row r="42" spans="1:6">
      <c r="A42" t="s">
        <v>124</v>
      </c>
      <c r="B42" t="str" cm="1">
        <f t="array" aca="1" ref="B42:C43" ca="1">_xlfn.STOCKHISTORY("WMT", TODAY()-1, TODAY())</f>
        <v>Date</v>
      </c>
      <c r="C42" t="str">
        <f ca="1"/>
        <v>Close</v>
      </c>
    </row>
    <row r="43" spans="1:6">
      <c r="B43" vm="1">
        <f ca="1"/>
        <v>45810</v>
      </c>
      <c r="C43" vm="2">
        <f ca="1"/>
        <v>99.77</v>
      </c>
    </row>
    <row r="44" spans="1:6">
      <c r="B44" t="str" cm="1">
        <f t="array" aca="1" ref="B44:C45" ca="1">_xlfn.STOCKHISTORY("WMT", DATE(2024,12,31), DATE(2024,12,31), 0, 1)</f>
        <v>Date</v>
      </c>
      <c r="C44" t="str">
        <f ca="1"/>
        <v>Close</v>
      </c>
    </row>
    <row r="45" spans="1:6">
      <c r="B45" vm="3">
        <f ca="1"/>
        <v>45657</v>
      </c>
      <c r="C45" vm="4">
        <f ca="1"/>
        <v>90.35</v>
      </c>
    </row>
    <row r="46" spans="1:6">
      <c r="B46" t="str" cm="1">
        <f t="array" aca="1" ref="B46:C47" ca="1">_xlfn.STOCKHISTORY("WMT", DATE(2023,12,29), DATE(2023,12,29), 0, 1)</f>
        <v>Date</v>
      </c>
      <c r="C46" t="str">
        <f ca="1"/>
        <v>Close</v>
      </c>
    </row>
    <row r="47" spans="1:6">
      <c r="B47" vm="5">
        <f ca="1"/>
        <v>45289</v>
      </c>
      <c r="C47" vm="6">
        <f ca="1"/>
        <v>52.549500000000002</v>
      </c>
    </row>
    <row r="48" spans="1:6">
      <c r="B48" t="str" cm="1">
        <f t="array" aca="1" ref="B48:C49" ca="1">_xlfn.STOCKHISTORY("WMT", DATE(2022,12,30), DATE(2022,12,30), 0, 1)</f>
        <v>Date</v>
      </c>
      <c r="C48" t="str">
        <f ca="1"/>
        <v>Close</v>
      </c>
    </row>
    <row r="49" spans="1:6">
      <c r="B49" vm="7">
        <f ca="1"/>
        <v>44925</v>
      </c>
      <c r="C49" vm="8">
        <f ca="1"/>
        <v>47.262900000000002</v>
      </c>
    </row>
    <row r="50" spans="1:6">
      <c r="B50" t="str" cm="1">
        <f t="array" aca="1" ref="B50:C51" ca="1">_xlfn.STOCKHISTORY("WMT", DATE(2021,12,31), DATE(2021,12,31), 0, 1)</f>
        <v>Date</v>
      </c>
      <c r="C50" t="str">
        <f ca="1"/>
        <v>Close</v>
      </c>
    </row>
    <row r="51" spans="1:6">
      <c r="B51" vm="9">
        <f ca="1"/>
        <v>44561</v>
      </c>
      <c r="C51" vm="10">
        <f ca="1"/>
        <v>48.229500000000002</v>
      </c>
    </row>
    <row r="52" spans="1:6">
      <c r="B52" s="8">
        <v>2025</v>
      </c>
      <c r="C52" s="8">
        <v>2024</v>
      </c>
      <c r="D52" s="8">
        <v>2023</v>
      </c>
      <c r="E52" s="8">
        <v>2022</v>
      </c>
      <c r="F52" s="8">
        <v>2021</v>
      </c>
    </row>
    <row r="53" spans="1:6" ht="19">
      <c r="A53" s="72" t="s">
        <v>216</v>
      </c>
      <c r="B53" s="1">
        <f>'WALMART-Income Statement'!C22</f>
        <v>19436</v>
      </c>
      <c r="C53" s="1">
        <f>'WALMART-Income Statement'!D22</f>
        <v>15511</v>
      </c>
      <c r="D53" s="1">
        <f>'WALMART-Income Statement'!E22</f>
        <v>11680</v>
      </c>
      <c r="E53" s="1">
        <f>'WALMART-Income Statement'!F22</f>
        <v>13673</v>
      </c>
      <c r="F53" s="1">
        <f>'WALMART-Income Statement'!G22</f>
        <v>13510</v>
      </c>
    </row>
    <row r="54" spans="1:6" ht="19">
      <c r="A54" s="72" t="s">
        <v>215</v>
      </c>
      <c r="B54" s="1">
        <f>'WALMART-Income Statement'!C11</f>
        <v>29348</v>
      </c>
      <c r="C54" s="1">
        <f>'WALMART-Income Statement'!D11</f>
        <v>27012</v>
      </c>
      <c r="D54" s="1">
        <f>'WALMART-Income Statement'!E11</f>
        <v>20428</v>
      </c>
      <c r="E54" s="1">
        <f>'WALMART-Income Statement'!F11</f>
        <v>25942</v>
      </c>
      <c r="F54" s="1">
        <f>'WALMART-Income Statement'!G11</f>
        <v>22548</v>
      </c>
    </row>
    <row r="55" spans="1:6" ht="19">
      <c r="A55" s="72" t="s">
        <v>212</v>
      </c>
      <c r="B55" s="1">
        <f>'WALMART-Income Statement'!C11+'WALMART-Cash Flow Statements'!B5</f>
        <v>42321</v>
      </c>
      <c r="C55" s="1">
        <f>'WALMART-Income Statement'!D11+'WALMART-Cash Flow Statements'!C5</f>
        <v>38865</v>
      </c>
      <c r="D55" s="1">
        <f>'WALMART-Income Statement'!E11+'WALMART-Cash Flow Statements'!D5</f>
        <v>31373</v>
      </c>
      <c r="E55" s="1">
        <f>'WALMART-Income Statement'!F11+'WALMART-Cash Flow Statements'!E5</f>
        <v>36600</v>
      </c>
      <c r="F55" s="1">
        <f>'WALMART-Income Statement'!G11+'WALMART-Cash Flow Statements'!F5</f>
        <v>33700</v>
      </c>
    </row>
    <row r="56" spans="1:6" ht="19">
      <c r="A56" s="72" t="s">
        <v>213</v>
      </c>
      <c r="B56" s="1">
        <f>('WALMART-Income Statement'!C11*(1-B31))</f>
        <v>22485.371393819605</v>
      </c>
      <c r="C56" s="1">
        <f>('WALMART-Income Statement'!D11*(1-C31))</f>
        <v>20115.582204320763</v>
      </c>
      <c r="D56" s="1">
        <f>('WALMART-Income Statement'!E11*(1-D31))</f>
        <v>13556.239774330041</v>
      </c>
      <c r="E56" s="1">
        <f>('WALMART-Income Statement'!F11*(1-E31))</f>
        <v>19342.719298245614</v>
      </c>
      <c r="F56" s="1">
        <f>('WALMART-Income Statement'!G11*(1-F31))</f>
        <v>15028.345069052712</v>
      </c>
    </row>
    <row r="57" spans="1:6" ht="19">
      <c r="A57" s="72" t="s">
        <v>217</v>
      </c>
      <c r="B57" s="1">
        <f>('WALMART-Income Statement'!C22+'WALMART-Cash Flow Statements'!B5+'WALMART-Cash Flow Statements'!B8+'WALMART-Cash Flow Statements'!B10+'WALMART-Cash Flow Statements'!B16)+('WALMART-Balance Sheet'!C7-'WALMART-Balance Sheet'!D7)+('WALMART-Balance Sheet'!C17-'WALMART-Balance Sheet'!D17)+('WALMART-Balance Sheet'!C6-'WALMART-Balance Sheet'!D6)+('WALMART-Balance Sheet'!C18-'WALMART-Balance Sheet'!D18)</f>
        <v>76269</v>
      </c>
      <c r="C57" s="1">
        <f>('WALMART-Income Statement'!D22+'WALMART-Cash Flow Statements'!C5+'WALMART-Cash Flow Statements'!C8+'WALMART-Cash Flow Statements'!C10+'WALMART-Cash Flow Statements'!C16)+('WALMART-Balance Sheet'!D7-'WALMART-Balance Sheet'!E7)+('WALMART-Balance Sheet'!D17-'WALMART-Balance Sheet'!E17)+('WALMART-Balance Sheet'!D6-'WALMART-Balance Sheet'!E6)+('WALMART-Balance Sheet'!D18-'WALMART-Balance Sheet'!E18)</f>
        <v>65439</v>
      </c>
      <c r="D57" s="1">
        <f>('WALMART-Income Statement'!E22+'WALMART-Cash Flow Statements'!D5+'WALMART-Cash Flow Statements'!D8+'WALMART-Cash Flow Statements'!D10+'WALMART-Cash Flow Statements'!D16)+('WALMART-Balance Sheet'!E7-'WALMART-Balance Sheet'!F7)+('WALMART-Balance Sheet'!E17-'WALMART-Balance Sheet'!F17)+('WALMART-Balance Sheet'!E6-'WALMART-Balance Sheet'!F6)+('WALMART-Balance Sheet'!E18-'WALMART-Balance Sheet'!F18)</f>
        <v>57099</v>
      </c>
      <c r="E57" s="1">
        <f>('WALMART-Income Statement'!F22+'WALMART-Cash Flow Statements'!E5+'WALMART-Cash Flow Statements'!E8+'WALMART-Cash Flow Statements'!E10+'WALMART-Cash Flow Statements'!E16)+('WALMART-Balance Sheet'!F7-'WALMART-Balance Sheet'!G7)+('WALMART-Balance Sheet'!F17-'WALMART-Balance Sheet'!G17)+('WALMART-Balance Sheet'!F6-'WALMART-Balance Sheet'!G6)+('WALMART-Balance Sheet'!F18-'WALMART-Balance Sheet'!G18)</f>
        <v>56949</v>
      </c>
      <c r="F57" s="1">
        <f>('WALMART-Income Statement'!G22+'WALMART-Cash Flow Statements'!F5+'WALMART-Cash Flow Statements'!F8+'WALMART-Cash Flow Statements'!F10+'WALMART-Cash Flow Statements'!F16)+('WALMART-Balance Sheet'!G7-'WALMART-Balance Sheet'!H7)+('WALMART-Balance Sheet'!G17-'WALMART-Balance Sheet'!H17)+('WALMART-Balance Sheet'!G6-'WALMART-Balance Sheet'!H6)+('WALMART-Balance Sheet'!G18-'WALMART-Balance Sheet'!H18)</f>
        <v>202740</v>
      </c>
    </row>
    <row r="58" spans="1:6" ht="19">
      <c r="A58" s="72" t="s">
        <v>218</v>
      </c>
      <c r="B58" s="1">
        <f>B57+('WALMART-Cash Flow Statements'!B17+'WALMART-Cash Flow Statements'!B20+'WALMART-Cash Flow Statements'!B21)</f>
        <v>50378</v>
      </c>
      <c r="C58" s="1">
        <f>C57+('WALMART-Cash Flow Statements'!C17+'WALMART-Cash Flow Statements'!C20+'WALMART-Cash Flow Statements'!C21)</f>
        <v>43767</v>
      </c>
      <c r="D58" s="1">
        <f>D57+('WALMART-Cash Flow Statements'!D17+'WALMART-Cash Flow Statements'!D20+'WALMART-Cash Flow Statements'!D21)</f>
        <v>39207</v>
      </c>
      <c r="E58" s="1">
        <f>E57+('WALMART-Cash Flow Statements'!E17+'WALMART-Cash Flow Statements'!E20+'WALMART-Cash Flow Statements'!E21)</f>
        <v>42605</v>
      </c>
      <c r="F58" s="1">
        <f>F57+('WALMART-Cash Flow Statements'!F17+'WALMART-Cash Flow Statements'!F20+'WALMART-Cash Flow Statements'!F21)</f>
        <v>192398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CFC2-1FED-F14A-961E-3B5BFBE53215}">
  <dimension ref="A1"/>
  <sheetViews>
    <sheetView workbookViewId="0">
      <selection activeCell="C6" sqref="C6"/>
    </sheetView>
  </sheetViews>
  <sheetFormatPr baseColWidth="10" defaultRowHeight="16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3081-052A-DC49-AEA1-CCE2614E5C24}">
  <dimension ref="A1:G10"/>
  <sheetViews>
    <sheetView workbookViewId="0">
      <selection activeCell="F37" sqref="F37"/>
    </sheetView>
  </sheetViews>
  <sheetFormatPr baseColWidth="10" defaultRowHeight="16"/>
  <cols>
    <col min="1" max="1" width="18.5" customWidth="1"/>
    <col min="2" max="2" width="8" customWidth="1"/>
    <col min="3" max="3" width="15.6640625" customWidth="1"/>
    <col min="4" max="4" width="7.83203125" customWidth="1"/>
    <col min="5" max="5" width="16.33203125" customWidth="1"/>
    <col min="6" max="6" width="14.33203125" customWidth="1"/>
    <col min="7" max="7" width="12.83203125" customWidth="1"/>
  </cols>
  <sheetData>
    <row r="1" spans="1:7">
      <c r="A1" t="s">
        <v>133</v>
      </c>
    </row>
    <row r="3" spans="1:7">
      <c r="A3" t="s">
        <v>91</v>
      </c>
      <c r="B3" s="76" t="s">
        <v>125</v>
      </c>
      <c r="C3" t="s">
        <v>95</v>
      </c>
      <c r="D3" s="77" t="s">
        <v>125</v>
      </c>
      <c r="E3" t="s">
        <v>126</v>
      </c>
      <c r="F3" s="77" t="s">
        <v>127</v>
      </c>
      <c r="G3" t="s">
        <v>128</v>
      </c>
    </row>
    <row r="4" spans="1:7">
      <c r="A4" t="s">
        <v>129</v>
      </c>
      <c r="C4" t="s">
        <v>130</v>
      </c>
      <c r="E4" t="s">
        <v>131</v>
      </c>
      <c r="G4" t="s">
        <v>132</v>
      </c>
    </row>
    <row r="6" spans="1:7">
      <c r="A6" s="8" t="s">
        <v>134</v>
      </c>
      <c r="B6" s="8">
        <v>2025</v>
      </c>
      <c r="C6" s="8">
        <v>2024</v>
      </c>
      <c r="D6" s="8">
        <v>2023</v>
      </c>
      <c r="E6" s="8">
        <v>2022</v>
      </c>
      <c r="F6" s="8">
        <v>2021</v>
      </c>
    </row>
    <row r="7" spans="1:7">
      <c r="A7" t="s">
        <v>137</v>
      </c>
      <c r="B7">
        <f>'WALMART-Income Statement'!C22/'WALMART-Income Statement'!C6</f>
        <v>2.881379551633859E-2</v>
      </c>
      <c r="C7">
        <f>'WALMART-Income Statement'!D22/'WALMART-Income Statement'!D6</f>
        <v>2.4136487628318944E-2</v>
      </c>
      <c r="D7">
        <f>'WALMART-Income Statement'!E22/'WALMART-Income Statement'!E6</f>
        <v>1.9277712950232801E-2</v>
      </c>
      <c r="E7">
        <f>'WALMART-Income Statement'!F22/'WALMART-Income Statement'!F6</f>
        <v>2.4082273910547024E-2</v>
      </c>
      <c r="F7">
        <f>'WALMART-Income Statement'!G22/'WALMART-Income Statement'!G6</f>
        <v>2.4332127233071522E-2</v>
      </c>
    </row>
    <row r="8" spans="1:7">
      <c r="A8" t="s">
        <v>136</v>
      </c>
      <c r="B8">
        <f>'WALMART-Income Statement'!C6/'WALMART-Balance Sheet'!C15</f>
        <v>2.5861906350283528</v>
      </c>
      <c r="C8">
        <f>'WALMART-Income Statement'!D6/'WALMART-Balance Sheet'!D15</f>
        <v>2.5461154758933278</v>
      </c>
      <c r="D8">
        <f>'WALMART-Income Statement'!E6/'WALMART-Balance Sheet'!E15</f>
        <v>2.4913177382944691</v>
      </c>
      <c r="E8">
        <f>'WALMART-Income Statement'!F6/'WALMART-Balance Sheet'!F15</f>
        <v>2.3187209017397699</v>
      </c>
      <c r="F8">
        <f>'WALMART-Income Statement'!G6/'WALMART-Balance Sheet'!G15</f>
        <v>2.1989774095431214</v>
      </c>
    </row>
    <row r="9" spans="1:7" ht="17" thickBot="1">
      <c r="A9" t="s">
        <v>135</v>
      </c>
      <c r="B9">
        <f>'WALMART-Balance Sheet'!C15/'WALMART-Balance Sheet'!C35</f>
        <v>2.6772769731372086</v>
      </c>
      <c r="C9">
        <f>'WALMART-Balance Sheet'!D15/'WALMART-Balance Sheet'!D35</f>
        <v>2.7936003718912219</v>
      </c>
      <c r="D9">
        <f>'WALMART-Balance Sheet'!E15/'WALMART-Balance Sheet'!E35</f>
        <v>2.903706091649354</v>
      </c>
      <c r="E9">
        <f>'WALMART-Balance Sheet'!F15/'WALMART-Balance Sheet'!F35</f>
        <v>2.6646788042354528</v>
      </c>
      <c r="F9">
        <f>'WALMART-Balance Sheet'!G15/'WALMART-Balance Sheet'!G35</f>
        <v>2.8846465823536804</v>
      </c>
    </row>
    <row r="10" spans="1:7" ht="17" thickBot="1">
      <c r="A10" s="81" t="s">
        <v>138</v>
      </c>
      <c r="B10" s="82">
        <f>B7*B8*B9</f>
        <v>0.19950524014329563</v>
      </c>
      <c r="C10" s="82">
        <f t="shared" ref="C10:F10" si="0">C7*C8*C9</f>
        <v>0.17167871254800829</v>
      </c>
      <c r="D10" s="82">
        <f t="shared" si="0"/>
        <v>0.13945602598084866</v>
      </c>
      <c r="E10" s="82">
        <f t="shared" si="0"/>
        <v>0.14879585595977843</v>
      </c>
      <c r="F10" s="83">
        <f t="shared" si="0"/>
        <v>0.15434531765888657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C316-F115-324E-90CD-96EB0139726C}">
  <dimension ref="A1:W46"/>
  <sheetViews>
    <sheetView workbookViewId="0">
      <selection activeCell="C23" sqref="C23"/>
    </sheetView>
  </sheetViews>
  <sheetFormatPr baseColWidth="10" defaultRowHeight="16"/>
  <cols>
    <col min="1" max="1" width="48.5" bestFit="1" customWidth="1"/>
    <col min="2" max="2" width="28.6640625" bestFit="1" customWidth="1"/>
    <col min="3" max="3" width="8" bestFit="1" customWidth="1"/>
    <col min="4" max="4" width="7.33203125" bestFit="1" customWidth="1"/>
    <col min="5" max="5" width="8.1640625" customWidth="1"/>
    <col min="6" max="7" width="9" customWidth="1"/>
    <col min="9" max="9" width="85.5" bestFit="1" customWidth="1"/>
    <col min="10" max="10" width="2.1640625" bestFit="1" customWidth="1"/>
    <col min="11" max="12" width="7" bestFit="1" customWidth="1"/>
    <col min="13" max="13" width="6.33203125" bestFit="1" customWidth="1"/>
    <col min="14" max="14" width="6.33203125" customWidth="1"/>
    <col min="15" max="15" width="9.33203125" customWidth="1"/>
    <col min="17" max="17" width="68.6640625" bestFit="1" customWidth="1"/>
    <col min="18" max="18" width="2.1640625" bestFit="1" customWidth="1"/>
    <col min="19" max="20" width="9" bestFit="1" customWidth="1"/>
    <col min="21" max="21" width="7.6640625" bestFit="1" customWidth="1"/>
  </cols>
  <sheetData>
    <row r="1" spans="1:23">
      <c r="A1" t="s">
        <v>163</v>
      </c>
      <c r="I1" t="s">
        <v>164</v>
      </c>
      <c r="Q1" t="s">
        <v>207</v>
      </c>
    </row>
    <row r="2" spans="1:23">
      <c r="A2" t="s">
        <v>139</v>
      </c>
      <c r="C2">
        <v>2025</v>
      </c>
      <c r="D2">
        <v>2024</v>
      </c>
      <c r="E2">
        <v>2023</v>
      </c>
      <c r="F2">
        <v>2022</v>
      </c>
      <c r="G2">
        <v>2021</v>
      </c>
      <c r="I2" t="s">
        <v>165</v>
      </c>
      <c r="K2">
        <v>2025</v>
      </c>
      <c r="L2">
        <v>2024</v>
      </c>
      <c r="M2">
        <v>2023</v>
      </c>
      <c r="N2">
        <v>2022</v>
      </c>
      <c r="O2">
        <v>2021</v>
      </c>
      <c r="Q2" t="s">
        <v>195</v>
      </c>
      <c r="S2">
        <v>2025</v>
      </c>
      <c r="T2">
        <v>2024</v>
      </c>
      <c r="U2">
        <v>2023</v>
      </c>
      <c r="V2">
        <v>2022</v>
      </c>
      <c r="W2">
        <v>2021</v>
      </c>
    </row>
    <row r="3" spans="1:23">
      <c r="A3" t="s">
        <v>140</v>
      </c>
      <c r="B3" t="s">
        <v>2</v>
      </c>
      <c r="C3" s="1">
        <v>4762</v>
      </c>
      <c r="D3" s="1">
        <v>3805</v>
      </c>
      <c r="E3" s="1">
        <v>2229</v>
      </c>
      <c r="F3" s="1">
        <v>5911</v>
      </c>
      <c r="G3" s="1">
        <v>8511</v>
      </c>
      <c r="I3" t="s">
        <v>166</v>
      </c>
      <c r="J3" t="s">
        <v>2</v>
      </c>
      <c r="K3" t="s">
        <v>167</v>
      </c>
      <c r="L3" t="s">
        <v>168</v>
      </c>
      <c r="M3" s="1">
        <v>2780</v>
      </c>
      <c r="N3" s="1">
        <v>6946</v>
      </c>
      <c r="O3" s="1">
        <v>4368</v>
      </c>
      <c r="Q3" t="s">
        <v>70</v>
      </c>
      <c r="R3" t="s">
        <v>2</v>
      </c>
      <c r="S3" s="1">
        <v>106566</v>
      </c>
      <c r="T3" s="1">
        <v>107412</v>
      </c>
      <c r="U3" s="1">
        <v>109120</v>
      </c>
      <c r="V3" s="1">
        <v>106005</v>
      </c>
      <c r="W3" s="1">
        <v>93561</v>
      </c>
    </row>
    <row r="4" spans="1:23">
      <c r="A4" t="s">
        <v>142</v>
      </c>
      <c r="C4" s="1">
        <v>12740</v>
      </c>
      <c r="D4" s="1">
        <v>11886</v>
      </c>
      <c r="E4" s="1">
        <v>13499</v>
      </c>
      <c r="F4" s="1">
        <v>13902</v>
      </c>
      <c r="G4" s="1">
        <v>10653</v>
      </c>
      <c r="I4" t="s">
        <v>3</v>
      </c>
      <c r="K4" s="1">
        <v>2981</v>
      </c>
      <c r="L4" s="1">
        <v>2801</v>
      </c>
      <c r="M4" s="1">
        <v>2700</v>
      </c>
      <c r="N4" s="1">
        <v>2642</v>
      </c>
      <c r="O4" s="1">
        <v>2485</v>
      </c>
      <c r="Q4" t="s">
        <v>73</v>
      </c>
      <c r="S4" s="1">
        <v>76502</v>
      </c>
      <c r="T4" s="1">
        <v>77828</v>
      </c>
      <c r="U4" s="1">
        <v>82306</v>
      </c>
      <c r="V4" s="1">
        <v>74963</v>
      </c>
      <c r="W4" s="1">
        <v>66177</v>
      </c>
    </row>
    <row r="5" spans="1:23">
      <c r="A5" t="s">
        <v>143</v>
      </c>
      <c r="C5" s="1">
        <v>1952</v>
      </c>
      <c r="D5" s="1">
        <v>1807</v>
      </c>
      <c r="E5" s="1">
        <v>2118</v>
      </c>
      <c r="F5" s="1">
        <v>1760</v>
      </c>
      <c r="G5" s="1">
        <v>1592</v>
      </c>
      <c r="I5" t="s">
        <v>169</v>
      </c>
      <c r="K5">
        <v>304</v>
      </c>
      <c r="L5">
        <v>251</v>
      </c>
      <c r="M5">
        <v>220</v>
      </c>
      <c r="N5">
        <v>228</v>
      </c>
      <c r="O5">
        <v>200</v>
      </c>
      <c r="Q5" t="s">
        <v>196</v>
      </c>
      <c r="S5" s="1">
        <v>21969</v>
      </c>
      <c r="T5" s="1">
        <v>21462</v>
      </c>
      <c r="U5" s="1">
        <v>20581</v>
      </c>
      <c r="V5" s="1">
        <v>19752</v>
      </c>
      <c r="W5" s="1">
        <v>18615</v>
      </c>
    </row>
    <row r="6" spans="1:23">
      <c r="A6" t="s">
        <v>42</v>
      </c>
      <c r="C6" s="1">
        <v>19454</v>
      </c>
      <c r="D6" s="1">
        <v>17498</v>
      </c>
      <c r="E6" s="1">
        <v>17846</v>
      </c>
      <c r="F6" s="1">
        <v>21573</v>
      </c>
      <c r="G6" s="1">
        <v>20756</v>
      </c>
      <c r="I6" t="s">
        <v>6</v>
      </c>
      <c r="K6">
        <v>-180</v>
      </c>
      <c r="L6">
        <v>298</v>
      </c>
      <c r="M6">
        <v>582</v>
      </c>
      <c r="N6">
        <v>522</v>
      </c>
      <c r="O6">
        <v>-184</v>
      </c>
      <c r="Q6" t="s">
        <v>197</v>
      </c>
      <c r="S6" s="1">
        <v>2529</v>
      </c>
      <c r="T6" s="1">
        <v>2415</v>
      </c>
      <c r="U6" s="1">
        <v>2385</v>
      </c>
      <c r="V6" s="1">
        <v>2344</v>
      </c>
      <c r="W6" s="1">
        <v>2230</v>
      </c>
    </row>
    <row r="7" spans="1:23">
      <c r="C7" s="1"/>
      <c r="D7" s="1"/>
      <c r="E7" s="1"/>
      <c r="F7" s="1"/>
      <c r="G7" s="1"/>
      <c r="I7" t="s">
        <v>210</v>
      </c>
      <c r="N7">
        <v>-335</v>
      </c>
      <c r="O7">
        <v>0</v>
      </c>
      <c r="S7" s="1"/>
      <c r="T7" s="1"/>
      <c r="U7" s="1"/>
    </row>
    <row r="8" spans="1:23">
      <c r="C8" s="1"/>
      <c r="D8" s="1"/>
      <c r="E8" s="1"/>
      <c r="F8" s="1"/>
      <c r="G8" s="1"/>
      <c r="O8">
        <v>512</v>
      </c>
      <c r="S8" s="1"/>
      <c r="T8" s="1"/>
      <c r="U8" s="1"/>
    </row>
    <row r="9" spans="1:23">
      <c r="A9" t="s">
        <v>144</v>
      </c>
      <c r="C9" s="1">
        <v>6735</v>
      </c>
      <c r="D9" s="1">
        <v>6547</v>
      </c>
      <c r="E9" s="1">
        <v>6231</v>
      </c>
      <c r="F9" s="1">
        <v>6164</v>
      </c>
      <c r="G9" s="1">
        <v>6141</v>
      </c>
      <c r="I9" t="s">
        <v>170</v>
      </c>
      <c r="K9">
        <v>26</v>
      </c>
      <c r="L9">
        <v>94</v>
      </c>
      <c r="M9">
        <v>172</v>
      </c>
      <c r="N9">
        <v>67</v>
      </c>
      <c r="O9">
        <v>86</v>
      </c>
      <c r="Q9" t="s">
        <v>198</v>
      </c>
      <c r="S9" s="1">
        <v>5566</v>
      </c>
      <c r="T9" s="1">
        <v>5707</v>
      </c>
      <c r="U9" s="1">
        <v>3848</v>
      </c>
      <c r="V9" s="1">
        <v>8946</v>
      </c>
      <c r="W9" s="1">
        <v>6539</v>
      </c>
    </row>
    <row r="10" spans="1:23">
      <c r="A10" t="s">
        <v>145</v>
      </c>
      <c r="C10" s="1">
        <v>38752</v>
      </c>
      <c r="D10" s="1">
        <v>37066</v>
      </c>
      <c r="E10" s="1">
        <v>34746</v>
      </c>
      <c r="F10" s="1">
        <v>32985</v>
      </c>
      <c r="G10" s="1">
        <v>31557</v>
      </c>
      <c r="I10" t="s">
        <v>171</v>
      </c>
      <c r="K10">
        <v>-854</v>
      </c>
      <c r="L10" s="1">
        <v>1613</v>
      </c>
      <c r="M10">
        <v>403</v>
      </c>
      <c r="N10" s="1">
        <v>-3249</v>
      </c>
      <c r="O10">
        <v>-1661</v>
      </c>
      <c r="Q10" t="s">
        <v>199</v>
      </c>
      <c r="S10">
        <v>411</v>
      </c>
      <c r="T10">
        <v>502</v>
      </c>
      <c r="U10">
        <v>478</v>
      </c>
      <c r="V10" s="1">
        <v>421</v>
      </c>
      <c r="W10" s="1">
        <v>977</v>
      </c>
    </row>
    <row r="11" spans="1:23">
      <c r="A11" t="s">
        <v>146</v>
      </c>
      <c r="C11" s="1">
        <v>8917</v>
      </c>
      <c r="D11" s="1">
        <v>8765</v>
      </c>
      <c r="E11" s="1">
        <v>7439</v>
      </c>
      <c r="F11" s="1">
        <v>6407</v>
      </c>
      <c r="G11" s="1">
        <v>5914</v>
      </c>
      <c r="I11" t="s">
        <v>172</v>
      </c>
      <c r="K11">
        <v>-308</v>
      </c>
      <c r="L11">
        <v>-85</v>
      </c>
      <c r="M11">
        <v>22</v>
      </c>
      <c r="N11">
        <v>-78</v>
      </c>
      <c r="O11">
        <v>-137</v>
      </c>
      <c r="Q11" t="s">
        <v>200</v>
      </c>
      <c r="S11">
        <v>-106</v>
      </c>
      <c r="T11">
        <v>-92</v>
      </c>
      <c r="U11">
        <v>-48</v>
      </c>
      <c r="V11" s="1">
        <v>-382</v>
      </c>
      <c r="W11" s="1">
        <v>16</v>
      </c>
    </row>
    <row r="12" spans="1:23">
      <c r="A12" t="s">
        <v>147</v>
      </c>
      <c r="C12" s="1">
        <v>3710</v>
      </c>
      <c r="D12" s="1">
        <v>3428</v>
      </c>
      <c r="E12" s="1">
        <v>3039</v>
      </c>
      <c r="F12" s="1">
        <v>2505</v>
      </c>
      <c r="G12" s="1">
        <v>2765</v>
      </c>
      <c r="I12" t="s">
        <v>11</v>
      </c>
      <c r="K12" s="1">
        <v>1008</v>
      </c>
      <c r="L12" s="1">
        <v>-1216</v>
      </c>
      <c r="M12" s="1">
        <v>-2237</v>
      </c>
      <c r="N12" s="1">
        <v>2628</v>
      </c>
      <c r="O12" s="1">
        <v>2925</v>
      </c>
      <c r="Q12" t="s">
        <v>201</v>
      </c>
      <c r="S12" s="1">
        <v>5261</v>
      </c>
      <c r="T12" s="1">
        <v>5297</v>
      </c>
      <c r="U12" s="1">
        <v>3418</v>
      </c>
      <c r="V12" s="1">
        <v>8907</v>
      </c>
      <c r="W12" s="1">
        <v>5546</v>
      </c>
    </row>
    <row r="13" spans="1:23">
      <c r="A13" t="s">
        <v>148</v>
      </c>
      <c r="C13" s="1">
        <v>1185</v>
      </c>
      <c r="D13" s="1">
        <v>1703</v>
      </c>
      <c r="E13" s="1">
        <v>2688</v>
      </c>
      <c r="F13" s="1">
        <v>1257</v>
      </c>
      <c r="G13" s="1">
        <v>780</v>
      </c>
      <c r="I13" t="s">
        <v>173</v>
      </c>
      <c r="K13">
        <v>299</v>
      </c>
      <c r="L13">
        <v>727</v>
      </c>
      <c r="M13">
        <v>-624</v>
      </c>
      <c r="N13">
        <v>-746</v>
      </c>
      <c r="O13" s="1">
        <v>1931</v>
      </c>
      <c r="Q13" t="s">
        <v>82</v>
      </c>
      <c r="S13" s="1">
        <v>1170</v>
      </c>
      <c r="T13" s="1">
        <v>1159</v>
      </c>
      <c r="U13">
        <v>638</v>
      </c>
      <c r="V13" s="1">
        <v>1961</v>
      </c>
      <c r="W13" s="1">
        <v>1178</v>
      </c>
    </row>
    <row r="14" spans="1:23">
      <c r="A14" t="s">
        <v>149</v>
      </c>
      <c r="C14" s="1">
        <v>-26277</v>
      </c>
      <c r="D14" s="1">
        <v>-24413</v>
      </c>
      <c r="E14" s="1">
        <v>-22631</v>
      </c>
      <c r="F14" s="1">
        <v>-21137</v>
      </c>
      <c r="G14" s="1">
        <v>-20278</v>
      </c>
      <c r="I14" t="s">
        <v>174</v>
      </c>
      <c r="K14" s="1">
        <v>7367</v>
      </c>
      <c r="L14" s="1">
        <v>8621</v>
      </c>
      <c r="M14" s="1">
        <v>4018</v>
      </c>
      <c r="N14" s="1">
        <v>8625</v>
      </c>
      <c r="O14" s="1">
        <v>10525</v>
      </c>
      <c r="Q14" t="s">
        <v>202</v>
      </c>
      <c r="R14" t="s">
        <v>2</v>
      </c>
      <c r="S14" s="85">
        <v>4091</v>
      </c>
      <c r="T14" s="85">
        <v>4138</v>
      </c>
      <c r="U14" s="85">
        <v>2780</v>
      </c>
      <c r="V14" s="1">
        <v>6946</v>
      </c>
      <c r="W14" s="1">
        <v>4368</v>
      </c>
    </row>
    <row r="15" spans="1:23">
      <c r="A15" t="s">
        <v>43</v>
      </c>
      <c r="C15" s="1">
        <v>33022</v>
      </c>
      <c r="D15" s="1">
        <v>33096</v>
      </c>
      <c r="E15" s="1">
        <v>31512</v>
      </c>
      <c r="F15" s="1">
        <v>28181</v>
      </c>
      <c r="G15" s="1">
        <v>26879</v>
      </c>
      <c r="I15" t="s">
        <v>175</v>
      </c>
      <c r="K15" s="1">
        <v>-2891</v>
      </c>
      <c r="L15" s="1">
        <v>-4806</v>
      </c>
      <c r="M15" s="1">
        <v>-5528</v>
      </c>
      <c r="N15" s="1">
        <v>3544</v>
      </c>
      <c r="O15" s="1">
        <v>-2649</v>
      </c>
      <c r="Q15" t="s">
        <v>203</v>
      </c>
      <c r="R15" t="s">
        <v>2</v>
      </c>
      <c r="S15" s="84">
        <v>8.89</v>
      </c>
      <c r="T15" s="84">
        <v>8.9600000000000009</v>
      </c>
      <c r="U15" s="84">
        <v>6.02</v>
      </c>
      <c r="V15" s="1">
        <v>14.23</v>
      </c>
      <c r="W15" s="1">
        <v>8.7200000000000006</v>
      </c>
    </row>
    <row r="16" spans="1:23">
      <c r="A16" t="s">
        <v>150</v>
      </c>
      <c r="C16" s="1">
        <v>3763</v>
      </c>
      <c r="D16" s="1">
        <v>3362</v>
      </c>
      <c r="E16" s="1">
        <v>2657</v>
      </c>
      <c r="F16" s="1">
        <v>2556</v>
      </c>
      <c r="G16" s="1">
        <v>2227</v>
      </c>
      <c r="I16" t="s">
        <v>176</v>
      </c>
      <c r="K16">
        <v>3</v>
      </c>
      <c r="L16">
        <v>24</v>
      </c>
      <c r="M16">
        <v>8</v>
      </c>
      <c r="N16" s="1">
        <v>27</v>
      </c>
      <c r="O16" s="1">
        <v>42</v>
      </c>
      <c r="Q16" t="s">
        <v>204</v>
      </c>
      <c r="R16" t="s">
        <v>2</v>
      </c>
      <c r="S16" s="84">
        <v>8.86</v>
      </c>
      <c r="T16" s="84">
        <v>8.94</v>
      </c>
      <c r="U16" s="84">
        <v>5.98</v>
      </c>
      <c r="V16" s="1">
        <v>14.1</v>
      </c>
      <c r="W16" s="1">
        <v>8.64</v>
      </c>
    </row>
    <row r="17" spans="1:23">
      <c r="C17" s="1"/>
      <c r="D17" s="1"/>
      <c r="E17" s="1"/>
      <c r="F17" s="1"/>
      <c r="G17" s="1"/>
      <c r="I17" t="s">
        <v>211</v>
      </c>
      <c r="N17" s="1">
        <v>356</v>
      </c>
      <c r="O17" s="1">
        <v>0</v>
      </c>
      <c r="S17" s="84"/>
      <c r="T17" s="84"/>
      <c r="U17" s="84"/>
    </row>
    <row r="18" spans="1:23">
      <c r="A18" t="s">
        <v>151</v>
      </c>
      <c r="C18" s="1">
        <v>1530</v>
      </c>
      <c r="D18" s="1">
        <v>1400</v>
      </c>
      <c r="E18" s="1">
        <v>1320</v>
      </c>
      <c r="F18" s="1">
        <v>1501</v>
      </c>
      <c r="G18" s="1">
        <v>1386</v>
      </c>
      <c r="I18" t="s">
        <v>177</v>
      </c>
      <c r="K18">
        <v>28</v>
      </c>
      <c r="L18">
        <v>22</v>
      </c>
      <c r="M18">
        <v>16</v>
      </c>
      <c r="N18" s="1">
        <v>7</v>
      </c>
      <c r="O18" s="1">
        <v>16</v>
      </c>
      <c r="Q18" t="s">
        <v>205</v>
      </c>
      <c r="S18">
        <v>460.4</v>
      </c>
      <c r="T18">
        <v>461.5</v>
      </c>
      <c r="U18">
        <v>462.1</v>
      </c>
      <c r="V18" s="1">
        <v>488.1</v>
      </c>
      <c r="W18" s="1">
        <v>500.6</v>
      </c>
    </row>
    <row r="19" spans="1:23">
      <c r="C19" s="1"/>
      <c r="D19" s="1"/>
      <c r="E19" s="1"/>
      <c r="F19" s="1"/>
      <c r="G19" s="1"/>
      <c r="N19" s="1"/>
    </row>
    <row r="20" spans="1:23">
      <c r="A20" t="s">
        <v>48</v>
      </c>
      <c r="B20" t="s">
        <v>2</v>
      </c>
      <c r="C20" s="1">
        <v>57769</v>
      </c>
      <c r="D20" s="1">
        <v>55356</v>
      </c>
      <c r="E20" s="1">
        <v>53335</v>
      </c>
      <c r="F20" s="1">
        <v>53811</v>
      </c>
      <c r="G20" s="1">
        <v>51248</v>
      </c>
      <c r="I20" t="s">
        <v>178</v>
      </c>
      <c r="K20" s="1">
        <v>-2860</v>
      </c>
      <c r="L20" s="1">
        <v>-4760</v>
      </c>
      <c r="M20" s="1">
        <v>-5504</v>
      </c>
      <c r="N20" s="1">
        <v>-3154</v>
      </c>
      <c r="O20" s="1">
        <v>-2591</v>
      </c>
      <c r="Q20" t="s">
        <v>89</v>
      </c>
      <c r="S20">
        <v>461.8</v>
      </c>
      <c r="T20">
        <v>462.8</v>
      </c>
      <c r="U20">
        <v>464.7</v>
      </c>
      <c r="V20" s="1">
        <v>492.7</v>
      </c>
      <c r="W20" s="1">
        <v>505.4</v>
      </c>
    </row>
    <row r="21" spans="1:23">
      <c r="A21" t="s">
        <v>152</v>
      </c>
      <c r="B21" t="s">
        <v>2</v>
      </c>
      <c r="C21" s="1">
        <v>13053</v>
      </c>
      <c r="D21" s="1">
        <v>12098</v>
      </c>
      <c r="E21" s="1">
        <v>13487</v>
      </c>
      <c r="F21" s="1">
        <v>15478</v>
      </c>
      <c r="G21" s="1">
        <v>12859</v>
      </c>
      <c r="I21" t="s">
        <v>179</v>
      </c>
      <c r="K21">
        <v>741</v>
      </c>
      <c r="M21" s="1">
        <v>2625</v>
      </c>
      <c r="N21" s="1">
        <v>1972</v>
      </c>
      <c r="O21" s="1">
        <v>2480</v>
      </c>
      <c r="Q21" t="s">
        <v>206</v>
      </c>
      <c r="S21">
        <v>0.5</v>
      </c>
      <c r="T21">
        <v>2.1</v>
      </c>
      <c r="U21">
        <v>1.1000000000000001</v>
      </c>
      <c r="V21">
        <v>0</v>
      </c>
      <c r="W21">
        <v>0</v>
      </c>
    </row>
    <row r="22" spans="1:23">
      <c r="A22" t="s">
        <v>153</v>
      </c>
      <c r="C22" s="1">
        <v>6110</v>
      </c>
      <c r="D22" s="1">
        <v>6090</v>
      </c>
      <c r="E22" s="1">
        <v>5883</v>
      </c>
      <c r="F22" s="1">
        <v>6098</v>
      </c>
      <c r="G22" s="1">
        <v>6122</v>
      </c>
      <c r="I22" t="s">
        <v>180</v>
      </c>
      <c r="K22" s="1">
        <v>-1139</v>
      </c>
      <c r="L22">
        <v>-147</v>
      </c>
      <c r="M22">
        <v>-163</v>
      </c>
      <c r="N22" s="1">
        <v>-1147</v>
      </c>
      <c r="O22" s="1">
        <v>-2415</v>
      </c>
    </row>
    <row r="23" spans="1:23">
      <c r="A23" t="s">
        <v>154</v>
      </c>
      <c r="C23" s="1">
        <v>1636</v>
      </c>
      <c r="D23" s="1">
        <v>1116</v>
      </c>
      <c r="E23" s="1">
        <v>130</v>
      </c>
      <c r="F23" s="1">
        <v>171</v>
      </c>
      <c r="G23" s="1">
        <v>1144</v>
      </c>
      <c r="I23" t="s">
        <v>25</v>
      </c>
      <c r="K23" s="1">
        <v>-2046</v>
      </c>
      <c r="L23" s="1">
        <v>-2011</v>
      </c>
      <c r="M23" s="1">
        <v>-1836</v>
      </c>
      <c r="N23" s="1">
        <v>-1548</v>
      </c>
      <c r="O23" s="1">
        <v>-1343</v>
      </c>
    </row>
    <row r="24" spans="1:23">
      <c r="A24" t="s">
        <v>53</v>
      </c>
      <c r="C24" s="1">
        <v>20799</v>
      </c>
      <c r="D24" s="1">
        <v>19304</v>
      </c>
      <c r="E24" s="1">
        <v>19500</v>
      </c>
      <c r="F24" s="1">
        <v>21747</v>
      </c>
      <c r="G24" s="1">
        <v>20125</v>
      </c>
      <c r="I24" t="s">
        <v>181</v>
      </c>
      <c r="K24" s="1">
        <v>-1007</v>
      </c>
      <c r="M24" s="1">
        <v>-2646</v>
      </c>
      <c r="N24" s="1">
        <v>-7188</v>
      </c>
      <c r="O24" s="1">
        <v>-745</v>
      </c>
    </row>
    <row r="25" spans="1:23">
      <c r="A25" t="s">
        <v>155</v>
      </c>
      <c r="C25" s="1">
        <v>14304</v>
      </c>
      <c r="D25" s="1">
        <v>14922</v>
      </c>
      <c r="E25" s="1">
        <v>16009</v>
      </c>
      <c r="F25" s="1">
        <v>13549</v>
      </c>
      <c r="G25" s="1">
        <v>11536</v>
      </c>
      <c r="I25" t="s">
        <v>182</v>
      </c>
      <c r="K25">
        <v>-99</v>
      </c>
      <c r="L25">
        <v>-127</v>
      </c>
      <c r="M25">
        <v>-180</v>
      </c>
      <c r="N25" s="1">
        <v>-168</v>
      </c>
    </row>
    <row r="26" spans="1:23">
      <c r="A26" t="s">
        <v>156</v>
      </c>
      <c r="C26" s="1">
        <v>3582</v>
      </c>
      <c r="D26" s="1">
        <v>3279</v>
      </c>
      <c r="E26" s="1">
        <v>2638</v>
      </c>
      <c r="F26" s="1">
        <v>2493</v>
      </c>
      <c r="G26" s="1">
        <v>2218</v>
      </c>
      <c r="I26" t="s">
        <v>183</v>
      </c>
      <c r="M26">
        <v>4</v>
      </c>
      <c r="N26" s="1">
        <v>8</v>
      </c>
      <c r="O26" s="1">
        <v>23</v>
      </c>
    </row>
    <row r="27" spans="1:23">
      <c r="A27" t="s">
        <v>6</v>
      </c>
      <c r="C27" s="1">
        <v>2303</v>
      </c>
      <c r="D27" s="1">
        <v>2480</v>
      </c>
      <c r="E27" s="1">
        <v>2196</v>
      </c>
      <c r="F27" s="1">
        <v>1566</v>
      </c>
      <c r="G27" s="1">
        <v>990</v>
      </c>
      <c r="I27" t="s">
        <v>184</v>
      </c>
      <c r="K27" s="1">
        <v>-3550</v>
      </c>
      <c r="L27" s="1">
        <v>-2285</v>
      </c>
      <c r="M27" s="1">
        <v>-2196</v>
      </c>
      <c r="N27" s="1">
        <v>-8071</v>
      </c>
      <c r="O27" s="1">
        <v>-2000</v>
      </c>
    </row>
    <row r="28" spans="1:23">
      <c r="A28" t="s">
        <v>157</v>
      </c>
      <c r="C28" s="1">
        <v>2115</v>
      </c>
      <c r="D28" s="1">
        <v>1939</v>
      </c>
      <c r="E28" s="1">
        <v>1760</v>
      </c>
      <c r="F28" s="1">
        <v>1629</v>
      </c>
      <c r="G28" s="1">
        <v>1939</v>
      </c>
      <c r="I28" t="s">
        <v>185</v>
      </c>
      <c r="K28">
        <v>957</v>
      </c>
      <c r="L28" s="1">
        <v>1576</v>
      </c>
      <c r="M28" s="1">
        <v>-3682</v>
      </c>
      <c r="N28" s="1">
        <v>-2600</v>
      </c>
      <c r="O28" s="1">
        <v>5934</v>
      </c>
    </row>
    <row r="29" spans="1:23">
      <c r="I29" t="s">
        <v>186</v>
      </c>
      <c r="K29" s="1">
        <v>3805</v>
      </c>
      <c r="L29" s="1">
        <v>2229</v>
      </c>
      <c r="M29" s="1">
        <v>5911</v>
      </c>
      <c r="N29" s="1">
        <v>8511</v>
      </c>
      <c r="O29" s="1">
        <v>2577</v>
      </c>
    </row>
    <row r="30" spans="1:23">
      <c r="A30" t="s">
        <v>158</v>
      </c>
      <c r="C30" s="1">
        <v>22304</v>
      </c>
      <c r="D30" s="1">
        <v>22620</v>
      </c>
      <c r="E30" s="1">
        <v>22603</v>
      </c>
      <c r="F30" s="1">
        <v>19237</v>
      </c>
      <c r="G30" s="1">
        <v>16683</v>
      </c>
      <c r="I30" t="s">
        <v>187</v>
      </c>
      <c r="J30" t="s">
        <v>2</v>
      </c>
      <c r="K30" t="s">
        <v>141</v>
      </c>
      <c r="L30" t="s">
        <v>188</v>
      </c>
      <c r="M30" s="1">
        <v>2229</v>
      </c>
      <c r="N30" s="1">
        <v>5911</v>
      </c>
      <c r="O30" s="1">
        <v>8511</v>
      </c>
    </row>
    <row r="31" spans="1:23">
      <c r="A31" t="s">
        <v>159</v>
      </c>
      <c r="C31">
        <v>38</v>
      </c>
      <c r="D31">
        <v>38</v>
      </c>
      <c r="E31" s="1">
        <v>38</v>
      </c>
      <c r="F31" s="1">
        <v>39</v>
      </c>
      <c r="G31" s="1">
        <v>42</v>
      </c>
      <c r="I31" t="s">
        <v>189</v>
      </c>
      <c r="J31" t="s">
        <v>2</v>
      </c>
      <c r="K31" t="s">
        <v>190</v>
      </c>
      <c r="L31" t="s">
        <v>191</v>
      </c>
      <c r="M31">
        <v>449</v>
      </c>
      <c r="N31" s="1">
        <v>414</v>
      </c>
      <c r="O31" s="1">
        <v>939</v>
      </c>
    </row>
    <row r="32" spans="1:23">
      <c r="A32" t="s">
        <v>160</v>
      </c>
      <c r="C32" s="1">
        <v>6996</v>
      </c>
      <c r="D32" s="1">
        <v>6761</v>
      </c>
      <c r="E32" s="1">
        <v>6608</v>
      </c>
      <c r="F32" s="1">
        <v>6421</v>
      </c>
      <c r="G32" s="1">
        <v>6329</v>
      </c>
      <c r="I32" t="s">
        <v>192</v>
      </c>
      <c r="K32" s="1">
        <v>1055</v>
      </c>
      <c r="L32">
        <v>374</v>
      </c>
      <c r="M32">
        <v>213</v>
      </c>
      <c r="N32" s="1">
        <v>2063</v>
      </c>
      <c r="O32" s="1">
        <v>1031</v>
      </c>
    </row>
    <row r="33" spans="1:15">
      <c r="A33" t="s">
        <v>61</v>
      </c>
      <c r="C33" s="1">
        <v>8090</v>
      </c>
      <c r="D33" s="1">
        <v>7093</v>
      </c>
      <c r="E33" s="1">
        <v>5005</v>
      </c>
      <c r="F33" s="1">
        <v>6920</v>
      </c>
      <c r="G33" s="1">
        <v>8825</v>
      </c>
      <c r="I33" t="s">
        <v>193</v>
      </c>
      <c r="K33">
        <v>319</v>
      </c>
      <c r="L33">
        <v>104</v>
      </c>
      <c r="M33">
        <v>224</v>
      </c>
      <c r="N33" s="1">
        <v>288</v>
      </c>
      <c r="O33" s="1">
        <v>428</v>
      </c>
    </row>
    <row r="34" spans="1:15">
      <c r="A34" t="s">
        <v>62</v>
      </c>
      <c r="C34">
        <v>-458</v>
      </c>
      <c r="D34">
        <v>-460</v>
      </c>
      <c r="E34" s="1">
        <v>-419</v>
      </c>
      <c r="F34" s="1">
        <v>-553</v>
      </c>
      <c r="G34" s="1">
        <v>-756</v>
      </c>
      <c r="I34" t="s">
        <v>194</v>
      </c>
      <c r="K34">
        <v>758</v>
      </c>
      <c r="L34" s="1">
        <v>1027</v>
      </c>
      <c r="M34">
        <v>329</v>
      </c>
      <c r="N34" s="1">
        <v>580</v>
      </c>
      <c r="O34" s="1">
        <v>262</v>
      </c>
    </row>
    <row r="35" spans="1:15">
      <c r="A35" t="s">
        <v>161</v>
      </c>
      <c r="C35" s="1">
        <v>14666</v>
      </c>
      <c r="D35" s="1">
        <v>13432</v>
      </c>
      <c r="E35" s="1">
        <v>11232</v>
      </c>
      <c r="F35" s="1">
        <v>12827</v>
      </c>
      <c r="G35" s="1">
        <v>14440</v>
      </c>
    </row>
    <row r="36" spans="1:15">
      <c r="A36" t="s">
        <v>162</v>
      </c>
      <c r="B36" t="s">
        <v>2</v>
      </c>
      <c r="C36" s="1">
        <v>57769</v>
      </c>
      <c r="D36" s="1">
        <v>55356</v>
      </c>
      <c r="E36" s="1">
        <v>53335</v>
      </c>
      <c r="F36" s="1">
        <v>53811</v>
      </c>
      <c r="G36" s="1">
        <v>51248</v>
      </c>
    </row>
    <row r="42" spans="1:15" ht="17" thickBot="1">
      <c r="A42" s="86" t="s">
        <v>208</v>
      </c>
      <c r="B42" s="87">
        <v>2025</v>
      </c>
      <c r="C42" s="87">
        <v>2024</v>
      </c>
      <c r="D42" s="87">
        <v>2023</v>
      </c>
      <c r="E42" s="87">
        <v>2022</v>
      </c>
      <c r="F42" s="88">
        <v>2021</v>
      </c>
    </row>
    <row r="43" spans="1:15">
      <c r="A43" s="89" t="s">
        <v>137</v>
      </c>
      <c r="B43" s="24">
        <f>S14/S3</f>
        <v>3.8389354953737589E-2</v>
      </c>
      <c r="C43" s="24">
        <f t="shared" ref="C43:F43" si="0">T14/T3</f>
        <v>3.8524559639518861E-2</v>
      </c>
      <c r="D43" s="24">
        <f t="shared" si="0"/>
        <v>2.5476539589442817E-2</v>
      </c>
      <c r="E43" s="24">
        <f t="shared" si="0"/>
        <v>6.5525211074949297E-2</v>
      </c>
      <c r="F43" s="90">
        <f t="shared" si="0"/>
        <v>4.6686119216340138E-2</v>
      </c>
    </row>
    <row r="44" spans="1:15">
      <c r="A44" s="89" t="s">
        <v>136</v>
      </c>
      <c r="B44" s="24">
        <f>S3/C20</f>
        <v>1.8446917897142066</v>
      </c>
      <c r="C44" s="24">
        <f t="shared" ref="C44:F44" si="1">T3/D20</f>
        <v>1.9403858660307827</v>
      </c>
      <c r="D44" s="24">
        <f t="shared" si="1"/>
        <v>2.0459360644979845</v>
      </c>
      <c r="E44" s="24">
        <f t="shared" si="1"/>
        <v>1.9699503818921782</v>
      </c>
      <c r="F44" s="90">
        <f t="shared" si="1"/>
        <v>1.8256517327505464</v>
      </c>
    </row>
    <row r="45" spans="1:15" ht="17" thickBot="1">
      <c r="A45" s="89" t="s">
        <v>135</v>
      </c>
      <c r="B45" s="24">
        <f>C20/C35</f>
        <v>3.9389744988408566</v>
      </c>
      <c r="C45" s="24">
        <f t="shared" ref="C45:F45" si="2">D20/D35</f>
        <v>4.1212030970815965</v>
      </c>
      <c r="D45" s="24">
        <f t="shared" si="2"/>
        <v>4.7484864672364671</v>
      </c>
      <c r="E45" s="24">
        <f t="shared" si="2"/>
        <v>4.1951352615576516</v>
      </c>
      <c r="F45" s="90">
        <f t="shared" si="2"/>
        <v>3.5490304709141274</v>
      </c>
    </row>
    <row r="46" spans="1:15" ht="17" thickBot="1">
      <c r="A46" s="78" t="s">
        <v>209</v>
      </c>
      <c r="B46" s="79">
        <f>B43*B44*B45</f>
        <v>0.27894449747715805</v>
      </c>
      <c r="C46" s="79">
        <f t="shared" ref="C46:F46" si="3">C43*C44*C45</f>
        <v>0.30807027992852892</v>
      </c>
      <c r="D46" s="79">
        <f t="shared" si="3"/>
        <v>0.24750712250712253</v>
      </c>
      <c r="E46" s="79">
        <f t="shared" si="3"/>
        <v>0.54151399391907684</v>
      </c>
      <c r="F46" s="80">
        <f t="shared" si="3"/>
        <v>0.30249307479224374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F9BF-294A-6344-A7A9-9362116A9DD8}">
  <dimension ref="A1:I50"/>
  <sheetViews>
    <sheetView topLeftCell="F7" workbookViewId="0">
      <selection activeCell="A21" sqref="A21"/>
    </sheetView>
  </sheetViews>
  <sheetFormatPr baseColWidth="10" defaultRowHeight="16"/>
  <cols>
    <col min="1" max="1" width="57.6640625" bestFit="1" customWidth="1"/>
    <col min="2" max="6" width="13.6640625" bestFit="1" customWidth="1"/>
  </cols>
  <sheetData>
    <row r="1" spans="1:6" ht="34">
      <c r="A1" s="2" t="s">
        <v>91</v>
      </c>
      <c r="B1" s="95">
        <v>2025</v>
      </c>
      <c r="C1" s="95">
        <v>2024</v>
      </c>
      <c r="D1" s="95">
        <v>2023</v>
      </c>
      <c r="E1" s="95">
        <v>2022</v>
      </c>
      <c r="F1" s="95">
        <v>2021</v>
      </c>
    </row>
    <row r="2" spans="1:6" ht="19">
      <c r="A2" s="72" t="s">
        <v>92</v>
      </c>
      <c r="B2" s="97">
        <f>('TARGET LTD, STATEMENTS &amp; DuPont'!S3-'TARGET LTD, STATEMENTS &amp; DuPont'!S4)/'TARGET LTD, STATEMENTS &amp; DuPont'!S3</f>
        <v>0.28211624720830286</v>
      </c>
      <c r="C2" s="97">
        <f>('TARGET LTD, STATEMENTS &amp; DuPont'!T3-'TARGET LTD, STATEMENTS &amp; DuPont'!T4)/'TARGET LTD, STATEMENTS &amp; DuPont'!T3</f>
        <v>0.2754254645663427</v>
      </c>
      <c r="D2" s="97">
        <f>('TARGET LTD, STATEMENTS &amp; DuPont'!U3-'TARGET LTD, STATEMENTS &amp; DuPont'!U4)/'TARGET LTD, STATEMENTS &amp; DuPont'!U3</f>
        <v>0.24572947214076246</v>
      </c>
      <c r="E2" s="97">
        <f>('TARGET LTD, STATEMENTS &amp; DuPont'!V3-'TARGET LTD, STATEMENTS &amp; DuPont'!V4)/'TARGET LTD, STATEMENTS &amp; DuPont'!V3</f>
        <v>0.29283524362058394</v>
      </c>
      <c r="F2" s="97">
        <f>('TARGET LTD, STATEMENTS &amp; DuPont'!W3-'TARGET LTD, STATEMENTS &amp; DuPont'!W4)/'TARGET LTD, STATEMENTS &amp; DuPont'!W3</f>
        <v>0.29268605508705553</v>
      </c>
    </row>
    <row r="3" spans="1:6" ht="19">
      <c r="A3" s="72" t="s">
        <v>93</v>
      </c>
      <c r="B3" s="97">
        <f>'TARGET LTD, STATEMENTS &amp; DuPont'!S9/'TARGET LTD, STATEMENTS &amp; DuPont'!S3</f>
        <v>5.2230542574554735E-2</v>
      </c>
      <c r="C3" s="97">
        <f>'TARGET LTD, STATEMENTS &amp; DuPont'!T9/'TARGET LTD, STATEMENTS &amp; DuPont'!T3</f>
        <v>5.3131866085725989E-2</v>
      </c>
      <c r="D3" s="97">
        <f>'TARGET LTD, STATEMENTS &amp; DuPont'!U9/'TARGET LTD, STATEMENTS &amp; DuPont'!U3</f>
        <v>3.5263929618768328E-2</v>
      </c>
      <c r="E3" s="97">
        <f>'TARGET LTD, STATEMENTS &amp; DuPont'!V9/'TARGET LTD, STATEMENTS &amp; DuPont'!V3</f>
        <v>8.4392245648790151E-2</v>
      </c>
      <c r="F3" s="97">
        <f>'TARGET LTD, STATEMENTS &amp; DuPont'!W9/'TARGET LTD, STATEMENTS &amp; DuPont'!W3</f>
        <v>6.989023204112825E-2</v>
      </c>
    </row>
    <row r="4" spans="1:6" ht="19">
      <c r="A4" s="72" t="s">
        <v>94</v>
      </c>
      <c r="B4" s="97">
        <f>'TARGET LTD, STATEMENTS &amp; DuPont'!S14/'TARGET LTD, STATEMENTS &amp; DuPont'!S3</f>
        <v>3.8389354953737589E-2</v>
      </c>
      <c r="C4" s="97">
        <f>'TARGET LTD, STATEMENTS &amp; DuPont'!T14/'TARGET LTD, STATEMENTS &amp; DuPont'!T3</f>
        <v>3.8524559639518861E-2</v>
      </c>
      <c r="D4" s="97">
        <f>'TARGET LTD, STATEMENTS &amp; DuPont'!U14/'TARGET LTD, STATEMENTS &amp; DuPont'!U3</f>
        <v>2.5476539589442817E-2</v>
      </c>
      <c r="E4" s="97">
        <f>'TARGET LTD, STATEMENTS &amp; DuPont'!V14/'TARGET LTD, STATEMENTS &amp; DuPont'!V3</f>
        <v>6.5525211074949297E-2</v>
      </c>
      <c r="F4" s="97">
        <f>'TARGET LTD, STATEMENTS &amp; DuPont'!W14/'TARGET LTD, STATEMENTS &amp; DuPont'!W3</f>
        <v>4.6686119216340138E-2</v>
      </c>
    </row>
    <row r="5" spans="1:6">
      <c r="B5" s="23"/>
      <c r="C5" s="24"/>
      <c r="D5" s="24"/>
      <c r="E5" s="24"/>
      <c r="F5" s="25"/>
    </row>
    <row r="6" spans="1:6" ht="34">
      <c r="A6" s="2" t="s">
        <v>95</v>
      </c>
      <c r="B6" s="23"/>
      <c r="C6" s="24"/>
      <c r="D6" s="24"/>
      <c r="E6" s="24"/>
      <c r="F6" s="25"/>
    </row>
    <row r="7" spans="1:6" ht="19">
      <c r="A7" s="72" t="s">
        <v>96</v>
      </c>
      <c r="B7" s="96">
        <f>('TARGET LTD, STATEMENTS &amp; DuPont'!K11/'TARGET LTD, STATEMENTS &amp; DuPont'!S3)*365</f>
        <v>-1.0549330931066192</v>
      </c>
      <c r="C7" s="96">
        <f>('TARGET LTD, STATEMENTS &amp; DuPont'!L11/'TARGET LTD, STATEMENTS &amp; DuPont'!T3)*365</f>
        <v>-0.28884109782892042</v>
      </c>
      <c r="D7" s="96">
        <f>('TARGET LTD, STATEMENTS &amp; DuPont'!M11/'TARGET LTD, STATEMENTS &amp; DuPont'!U3)*365</f>
        <v>7.3588709677419359E-2</v>
      </c>
      <c r="E7" s="96">
        <f>('TARGET LTD, STATEMENTS &amp; DuPont'!N11/'TARGET LTD, STATEMENTS &amp; DuPont'!V3)*365</f>
        <v>-0.2685722371586246</v>
      </c>
      <c r="F7" s="96">
        <f>('TARGET LTD, STATEMENTS &amp; DuPont'!O11/'TARGET LTD, STATEMENTS &amp; DuPont'!W3)*365</f>
        <v>-0.53446414638578044</v>
      </c>
    </row>
    <row r="8" spans="1:6" ht="19">
      <c r="A8" s="72" t="s">
        <v>97</v>
      </c>
      <c r="B8" s="96">
        <f>('TARGET LTD, STATEMENTS &amp; DuPont'!C4/'TARGET LTD, STATEMENTS &amp; DuPont'!S4)*365</f>
        <v>60.78403179001856</v>
      </c>
      <c r="C8" s="96">
        <f>('TARGET LTD, STATEMENTS &amp; DuPont'!D4/'TARGET LTD, STATEMENTS &amp; DuPont'!T4)*365</f>
        <v>55.743305751143545</v>
      </c>
      <c r="D8" s="96">
        <f>('TARGET LTD, STATEMENTS &amp; DuPont'!E4/'TARGET LTD, STATEMENTS &amp; DuPont'!U4)*365</f>
        <v>59.863618691225426</v>
      </c>
      <c r="E8" s="96">
        <f>('TARGET LTD, STATEMENTS &amp; DuPont'!F4/'TARGET LTD, STATEMENTS &amp; DuPont'!V4)*365</f>
        <v>67.689793631524893</v>
      </c>
      <c r="F8" s="96">
        <f>('TARGET LTD, STATEMENTS &amp; DuPont'!G4/'TARGET LTD, STATEMENTS &amp; DuPont'!W4)*365</f>
        <v>58.756743279387095</v>
      </c>
    </row>
    <row r="9" spans="1:6" ht="19">
      <c r="A9" s="72" t="s">
        <v>113</v>
      </c>
      <c r="B9" s="96">
        <f>('TARGET LTD, STATEMENTS &amp; DuPont'!K12*365)/'TARGET LTD, STATEMENTS &amp; DuPont'!S4</f>
        <v>4.8092860317377326</v>
      </c>
      <c r="C9" s="96">
        <f>('TARGET LTD, STATEMENTS &amp; DuPont'!L12*365)/'TARGET LTD, STATEMENTS &amp; DuPont'!T4</f>
        <v>-5.7028318856966642</v>
      </c>
      <c r="D9" s="96">
        <f>('TARGET LTD, STATEMENTS &amp; DuPont'!M12*365)/'TARGET LTD, STATEMENTS &amp; DuPont'!U4</f>
        <v>-9.9203581755886567</v>
      </c>
      <c r="E9" s="96">
        <f>('TARGET LTD, STATEMENTS &amp; DuPont'!N12*365)/'TARGET LTD, STATEMENTS &amp; DuPont'!V4</f>
        <v>12.795912650240785</v>
      </c>
      <c r="F9" s="96">
        <f>('TARGET LTD, STATEMENTS &amp; DuPont'!O12*365)/'TARGET LTD, STATEMENTS &amp; DuPont'!W4</f>
        <v>16.132870937032504</v>
      </c>
    </row>
    <row r="10" spans="1:6" ht="19">
      <c r="A10" s="72" t="s">
        <v>98</v>
      </c>
      <c r="B10" s="96">
        <f>'TARGET LTD, STATEMENTS &amp; DuPont'!S3/'TARGET LTD, STATEMENTS &amp; DuPont'!C6</f>
        <v>5.4778451732291558</v>
      </c>
      <c r="C10" s="96">
        <f>'TARGET LTD, STATEMENTS &amp; DuPont'!T3/'TARGET LTD, STATEMENTS &amp; DuPont'!D6</f>
        <v>6.1385301177277407</v>
      </c>
      <c r="D10" s="96">
        <f>'TARGET LTD, STATEMENTS &amp; DuPont'!U3/'TARGET LTD, STATEMENTS &amp; DuPont'!E6</f>
        <v>6.1145354701333634</v>
      </c>
      <c r="E10" s="96">
        <f>'TARGET LTD, STATEMENTS &amp; DuPont'!V3/'TARGET LTD, STATEMENTS &amp; DuPont'!F6</f>
        <v>4.9137811152829922</v>
      </c>
      <c r="F10" s="96">
        <f>'TARGET LTD, STATEMENTS &amp; DuPont'!W3/'TARGET LTD, STATEMENTS &amp; DuPont'!G6</f>
        <v>4.507660435536712</v>
      </c>
    </row>
    <row r="11" spans="1:6">
      <c r="B11" s="59"/>
      <c r="C11" s="59"/>
      <c r="D11" s="59"/>
      <c r="E11" s="59"/>
      <c r="F11" s="59"/>
    </row>
    <row r="12" spans="1:6" ht="34">
      <c r="A12" s="2" t="s">
        <v>99</v>
      </c>
      <c r="B12" s="23"/>
      <c r="C12" s="24"/>
      <c r="D12" s="24"/>
      <c r="E12" s="24"/>
      <c r="F12" s="25"/>
    </row>
    <row r="13" spans="1:6" ht="19">
      <c r="A13" s="72" t="s">
        <v>100</v>
      </c>
      <c r="B13" s="98">
        <f>('TARGET LTD, STATEMENTS &amp; DuPont'!C21+'TARGET LTD, STATEMENTS &amp; DuPont'!C25)/'TARGET LTD, STATEMENTS &amp; DuPont'!C35</f>
        <v>1.8653347879449065</v>
      </c>
      <c r="C13" s="98">
        <f>('TARGET LTD, STATEMENTS &amp; DuPont'!D21+'TARGET LTD, STATEMENTS &amp; DuPont'!D25)/'TARGET LTD, STATEMENTS &amp; DuPont'!D35</f>
        <v>2.0116140559857056</v>
      </c>
      <c r="D13" s="98">
        <f>('TARGET LTD, STATEMENTS &amp; DuPont'!E21+'TARGET LTD, STATEMENTS &amp; DuPont'!E25)/'TARGET LTD, STATEMENTS &amp; DuPont'!E35</f>
        <v>2.6260683760683761</v>
      </c>
      <c r="E13" s="98">
        <f>('TARGET LTD, STATEMENTS &amp; DuPont'!F21+'TARGET LTD, STATEMENTS &amp; DuPont'!F25)/'TARGET LTD, STATEMENTS &amp; DuPont'!F35</f>
        <v>2.2629609417634677</v>
      </c>
      <c r="F13" s="98">
        <f>('TARGET LTD, STATEMENTS &amp; DuPont'!G21+'TARGET LTD, STATEMENTS &amp; DuPont'!G25)/'TARGET LTD, STATEMENTS &amp; DuPont'!G35</f>
        <v>1.689404432132964</v>
      </c>
    </row>
    <row r="14" spans="1:6" ht="19">
      <c r="A14" s="72" t="s">
        <v>101</v>
      </c>
      <c r="B14" s="96">
        <f>'TARGET LTD, STATEMENTS &amp; DuPont'!C30/'TARGET LTD, STATEMENTS &amp; DuPont'!C35</f>
        <v>1.5207963998363563</v>
      </c>
      <c r="C14" s="96">
        <f>'TARGET LTD, STATEMENTS &amp; DuPont'!D30/'TARGET LTD, STATEMENTS &amp; DuPont'!D35</f>
        <v>1.6840381179273376</v>
      </c>
      <c r="D14" s="96">
        <f>'TARGET LTD, STATEMENTS &amp; DuPont'!E30/'TARGET LTD, STATEMENTS &amp; DuPont'!E35</f>
        <v>2.0123753561253563</v>
      </c>
      <c r="E14" s="96">
        <f>'TARGET LTD, STATEMENTS &amp; DuPont'!F30/'TARGET LTD, STATEMENTS &amp; DuPont'!F35</f>
        <v>1.4997271380681376</v>
      </c>
      <c r="F14" s="96">
        <f>'TARGET LTD, STATEMENTS &amp; DuPont'!G30/'TARGET LTD, STATEMENTS &amp; DuPont'!G35</f>
        <v>1.1553324099722992</v>
      </c>
    </row>
    <row r="15" spans="1:6" ht="19">
      <c r="A15" s="72" t="s">
        <v>102</v>
      </c>
      <c r="B15" s="96">
        <f>'TARGET LTD, STATEMENTS &amp; DuPont'!C25/('TARGET LTD, STATEMENTS &amp; DuPont'!C25+'TARGET LTD, STATEMENTS &amp; DuPont'!C35+'TARGET LTD, STATEMENTS &amp; DuPont'!C21)</f>
        <v>0.34038502724698377</v>
      </c>
      <c r="C15" s="96">
        <f>'TARGET LTD, STATEMENTS &amp; DuPont'!D25/('TARGET LTD, STATEMENTS &amp; DuPont'!D25+'TARGET LTD, STATEMENTS &amp; DuPont'!D35+'TARGET LTD, STATEMENTS &amp; DuPont'!D21)</f>
        <v>0.36888163749629188</v>
      </c>
      <c r="D15" s="96">
        <f>'TARGET LTD, STATEMENTS &amp; DuPont'!E25/('TARGET LTD, STATEMENTS &amp; DuPont'!E25+'TARGET LTD, STATEMENTS &amp; DuPont'!E35+'TARGET LTD, STATEMENTS &amp; DuPont'!E21)</f>
        <v>0.39307110587310939</v>
      </c>
      <c r="E15" s="96">
        <f>'TARGET LTD, STATEMENTS &amp; DuPont'!F25/('TARGET LTD, STATEMENTS &amp; DuPont'!F25+'TARGET LTD, STATEMENTS &amp; DuPont'!F35+'TARGET LTD, STATEMENTS &amp; DuPont'!F21)</f>
        <v>0.32372055239642566</v>
      </c>
      <c r="F15" s="96">
        <f>'TARGET LTD, STATEMENTS &amp; DuPont'!G25/('TARGET LTD, STATEMENTS &amp; DuPont'!G25+'TARGET LTD, STATEMENTS &amp; DuPont'!G35+'TARGET LTD, STATEMENTS &amp; DuPont'!G21)</f>
        <v>0.29705162868546414</v>
      </c>
    </row>
    <row r="16" spans="1:6" ht="19">
      <c r="A16" s="72" t="s">
        <v>103</v>
      </c>
      <c r="B16" s="96">
        <f>('TARGET LTD, STATEMENTS &amp; DuPont'!C21+'TARGET LTD, STATEMENTS &amp; DuPont'!C25)/B32</f>
        <v>0.85912131394655022</v>
      </c>
      <c r="C16" s="96">
        <f>('TARGET LTD, STATEMENTS &amp; DuPont'!D21+'TARGET LTD, STATEMENTS &amp; DuPont'!D25)/C32</f>
        <v>0.89707835325365204</v>
      </c>
      <c r="D16" s="96">
        <f>('TARGET LTD, STATEMENTS &amp; DuPont'!E21+'TARGET LTD, STATEMENTS &amp; DuPont'!E25)/D32</f>
        <v>1.1139393481626949</v>
      </c>
      <c r="E16" s="96">
        <f>('TARGET LTD, STATEMENTS &amp; DuPont'!F21+'TARGET LTD, STATEMENTS &amp; DuPont'!F25)/E32</f>
        <v>0.96489711797360633</v>
      </c>
      <c r="F16" s="96">
        <f>('TARGET LTD, STATEMENTS &amp; DuPont'!G21+'TARGET LTD, STATEMENTS &amp; DuPont'!G25)/F32</f>
        <v>0.90968415557295745</v>
      </c>
    </row>
    <row r="17" spans="1:6" ht="19">
      <c r="A17" s="72" t="s">
        <v>104</v>
      </c>
      <c r="B17" s="96">
        <f>'TARGET LTD, STATEMENTS &amp; DuPont'!S9/'TARGET LTD, STATEMENTS &amp; DuPont'!S10</f>
        <v>13.54257907542579</v>
      </c>
      <c r="C17" s="96">
        <f>'TARGET LTD, STATEMENTS &amp; DuPont'!T9/'TARGET LTD, STATEMENTS &amp; DuPont'!T10</f>
        <v>11.368525896414342</v>
      </c>
      <c r="D17" s="96">
        <f>'TARGET LTD, STATEMENTS &amp; DuPont'!U9/'TARGET LTD, STATEMENTS &amp; DuPont'!U10</f>
        <v>8.05020920502092</v>
      </c>
      <c r="E17" s="96">
        <f>'TARGET LTD, STATEMENTS &amp; DuPont'!V9/'TARGET LTD, STATEMENTS &amp; DuPont'!V10</f>
        <v>21.24940617577197</v>
      </c>
      <c r="F17" s="96">
        <f>'TARGET LTD, STATEMENTS &amp; DuPont'!W9/'TARGET LTD, STATEMENTS &amp; DuPont'!W10</f>
        <v>6.6929375639713404</v>
      </c>
    </row>
    <row r="18" spans="1:6" ht="19">
      <c r="A18" s="72" t="s">
        <v>105</v>
      </c>
      <c r="B18" s="96">
        <f>B32/'TARGET LTD, STATEMENTS &amp; DuPont'!S10</f>
        <v>77.476885644768856</v>
      </c>
      <c r="C18" s="96">
        <f>C32/'TARGET LTD, STATEMENTS &amp; DuPont'!T10</f>
        <v>60</v>
      </c>
      <c r="D18" s="96">
        <f>D32/'TARGET LTD, STATEMENTS &amp; DuPont'!U10</f>
        <v>55.395397489539747</v>
      </c>
      <c r="E18" s="96">
        <f>E32/'TARGET LTD, STATEMENTS &amp; DuPont'!V10</f>
        <v>71.456057007125892</v>
      </c>
      <c r="F18" s="96">
        <f>F32/'TARGET LTD, STATEMENTS &amp; DuPont'!W10</f>
        <v>27.448311156601843</v>
      </c>
    </row>
    <row r="19" spans="1:6">
      <c r="B19" s="23"/>
      <c r="C19" s="24"/>
      <c r="D19" s="24"/>
      <c r="E19" s="24"/>
      <c r="F19" s="25"/>
    </row>
    <row r="20" spans="1:6" ht="34">
      <c r="A20" s="2" t="s">
        <v>106</v>
      </c>
      <c r="B20" s="23"/>
      <c r="C20" s="24"/>
      <c r="D20" s="24"/>
      <c r="E20" s="24"/>
      <c r="F20" s="25"/>
    </row>
    <row r="21" spans="1:6" ht="19">
      <c r="A21" s="72" t="s">
        <v>107</v>
      </c>
      <c r="B21" s="96">
        <f>'TARGET LTD, STATEMENTS &amp; DuPont'!C6/'TARGET LTD, STATEMENTS &amp; DuPont'!C24</f>
        <v>0.93533342949180254</v>
      </c>
      <c r="C21" s="96">
        <f>'TARGET LTD, STATEMENTS &amp; DuPont'!D6/'TARGET LTD, STATEMENTS &amp; DuPont'!D24</f>
        <v>0.90644426025694158</v>
      </c>
      <c r="D21" s="96">
        <f>'TARGET LTD, STATEMENTS &amp; DuPont'!E6/'TARGET LTD, STATEMENTS &amp; DuPont'!E24</f>
        <v>0.91517948717948716</v>
      </c>
      <c r="E21" s="96">
        <f>'TARGET LTD, STATEMENTS &amp; DuPont'!F6/'TARGET LTD, STATEMENTS &amp; DuPont'!F24</f>
        <v>0.99199889639950334</v>
      </c>
      <c r="F21" s="96">
        <f>'TARGET LTD, STATEMENTS &amp; DuPont'!G6/'TARGET LTD, STATEMENTS &amp; DuPont'!G24</f>
        <v>1.0313540372670806</v>
      </c>
    </row>
    <row r="22" spans="1:6" ht="19">
      <c r="A22" s="72" t="s">
        <v>108</v>
      </c>
      <c r="B22" s="96">
        <f>('TARGET LTD, STATEMENTS &amp; DuPont'!C6-'TARGET LTD, STATEMENTS &amp; DuPont'!C4)/'TARGET LTD, STATEMENTS &amp; DuPont'!C24</f>
        <v>0.32280398096062313</v>
      </c>
      <c r="C22" s="96">
        <f>('TARGET LTD, STATEMENTS &amp; DuPont'!D6-'TARGET LTD, STATEMENTS &amp; DuPont'!D4)/'TARGET LTD, STATEMENTS &amp; DuPont'!D24</f>
        <v>0.29071694985495233</v>
      </c>
      <c r="D22" s="96">
        <f>('TARGET LTD, STATEMENTS &amp; DuPont'!E6-'TARGET LTD, STATEMENTS &amp; DuPont'!E4)/'TARGET LTD, STATEMENTS &amp; DuPont'!E24</f>
        <v>0.22292307692307692</v>
      </c>
      <c r="E22" s="96">
        <f>('TARGET LTD, STATEMENTS &amp; DuPont'!F6-'TARGET LTD, STATEMENTS &amp; DuPont'!F4)/'TARGET LTD, STATEMENTS &amp; DuPont'!F24</f>
        <v>0.35273830873223894</v>
      </c>
      <c r="F22" s="96">
        <f>('TARGET LTD, STATEMENTS &amp; DuPont'!G6-'TARGET LTD, STATEMENTS &amp; DuPont'!G4)/'TARGET LTD, STATEMENTS &amp; DuPont'!G24</f>
        <v>0.50201242236024846</v>
      </c>
    </row>
    <row r="23" spans="1:6" ht="19">
      <c r="A23" s="72" t="s">
        <v>114</v>
      </c>
      <c r="B23" s="96">
        <f>B7+B8+B9</f>
        <v>64.538384728649675</v>
      </c>
      <c r="C23" s="96">
        <f t="shared" ref="C23:F23" si="0">C7+C8+C9</f>
        <v>49.751632767617963</v>
      </c>
      <c r="D23" s="96">
        <f t="shared" si="0"/>
        <v>50.016849225314189</v>
      </c>
      <c r="E23" s="96">
        <f t="shared" si="0"/>
        <v>80.21713404460705</v>
      </c>
      <c r="F23" s="96">
        <f t="shared" si="0"/>
        <v>74.355150070033815</v>
      </c>
    </row>
    <row r="24" spans="1:6">
      <c r="B24" s="23"/>
      <c r="C24" s="24"/>
      <c r="D24" s="24"/>
      <c r="E24" s="24"/>
      <c r="F24" s="25"/>
    </row>
    <row r="25" spans="1:6" ht="34">
      <c r="A25" s="2" t="s">
        <v>109</v>
      </c>
      <c r="B25" s="23"/>
      <c r="C25" s="24"/>
      <c r="D25" s="24"/>
      <c r="E25" s="24"/>
      <c r="F25" s="25"/>
    </row>
    <row r="26" spans="1:6" ht="19">
      <c r="A26" s="72" t="s">
        <v>110</v>
      </c>
      <c r="B26" s="18">
        <f>'TARGET LTD, STATEMENTS &amp; DuPont'!S14/'TARGET LTD, STATEMENTS &amp; DuPont'!C35</f>
        <v>0.27894449747715805</v>
      </c>
      <c r="C26" s="19">
        <f>'TARGET LTD, STATEMENTS &amp; DuPont'!T14/'TARGET LTD, STATEMENTS &amp; DuPont'!D35</f>
        <v>0.30807027992852887</v>
      </c>
      <c r="D26" s="19">
        <f>'TARGET LTD, STATEMENTS &amp; DuPont'!U14/'TARGET LTD, STATEMENTS &amp; DuPont'!E35</f>
        <v>0.24750712250712251</v>
      </c>
      <c r="E26" s="19">
        <f>'TARGET LTD, STATEMENTS &amp; DuPont'!V14/'TARGET LTD, STATEMENTS &amp; DuPont'!F35</f>
        <v>0.54151399391907695</v>
      </c>
      <c r="F26" s="20">
        <f>'TARGET LTD, STATEMENTS &amp; DuPont'!W14/'TARGET LTD, STATEMENTS &amp; DuPont'!G35</f>
        <v>0.30249307479224374</v>
      </c>
    </row>
    <row r="27" spans="1:6" ht="19">
      <c r="A27" s="72" t="s">
        <v>111</v>
      </c>
      <c r="B27" s="18">
        <f>'TARGET LTD, STATEMENTS &amp; DuPont'!S14/'TARGET LTD, STATEMENTS &amp; DuPont'!C20</f>
        <v>7.0816527895584139E-2</v>
      </c>
      <c r="C27" s="19">
        <f>'TARGET LTD, STATEMENTS &amp; DuPont'!T14/'TARGET LTD, STATEMENTS &amp; DuPont'!D20</f>
        <v>7.4752511019582343E-2</v>
      </c>
      <c r="D27" s="19">
        <f>'TARGET LTD, STATEMENTS &amp; DuPont'!U14/'TARGET LTD, STATEMENTS &amp; DuPont'!E20</f>
        <v>5.212337114465173E-2</v>
      </c>
      <c r="E27" s="19">
        <f>'TARGET LTD, STATEMENTS &amp; DuPont'!V14/'TARGET LTD, STATEMENTS &amp; DuPont'!F20</f>
        <v>0.12908141458066194</v>
      </c>
      <c r="F27" s="20">
        <f>'TARGET LTD, STATEMENTS &amp; DuPont'!W14/'TARGET LTD, STATEMENTS &amp; DuPont'!G20</f>
        <v>8.5232594442709961E-2</v>
      </c>
    </row>
    <row r="28" spans="1:6" ht="20" thickBot="1">
      <c r="A28" s="72" t="s">
        <v>112</v>
      </c>
      <c r="B28" s="29">
        <f>B33/('TARGET LTD, STATEMENTS &amp; DuPont'!C25+'TARGET LTD, STATEMENTS &amp; DuPont'!C35)</f>
        <v>0.14940181877745576</v>
      </c>
      <c r="C28" s="30">
        <f>C33/('TARGET LTD, STATEMENTS &amp; DuPont'!D25+'TARGET LTD, STATEMENTS &amp; DuPont'!D35)</f>
        <v>0.15723674721740238</v>
      </c>
      <c r="D28" s="30">
        <f>D33/('TARGET LTD, STATEMENTS &amp; DuPont'!E25+'TARGET LTD, STATEMENTS &amp; DuPont'!E35)</f>
        <v>0.11489066804161772</v>
      </c>
      <c r="E28" s="30">
        <f>E33/('TARGET LTD, STATEMENTS &amp; DuPont'!F25+'TARGET LTD, STATEMENTS &amp; DuPont'!F35)</f>
        <v>0.26449854440685383</v>
      </c>
      <c r="F28" s="31">
        <f>F33/('TARGET LTD, STATEMENTS &amp; DuPont'!G25+'TARGET LTD, STATEMENTS &amp; DuPont'!G35)</f>
        <v>0.19826306976363992</v>
      </c>
    </row>
    <row r="29" spans="1:6" ht="20" thickBot="1">
      <c r="A29" s="72"/>
      <c r="B29">
        <v>2025</v>
      </c>
      <c r="C29">
        <v>2024</v>
      </c>
      <c r="D29">
        <v>2023</v>
      </c>
      <c r="E29">
        <v>2022</v>
      </c>
      <c r="F29">
        <v>2021</v>
      </c>
    </row>
    <row r="30" spans="1:6" ht="19">
      <c r="A30" s="72" t="s">
        <v>216</v>
      </c>
      <c r="B30" s="105">
        <f>'TARGET LTD, STATEMENTS &amp; DuPont'!S14</f>
        <v>4091</v>
      </c>
      <c r="C30" s="99">
        <f>'TARGET LTD, STATEMENTS &amp; DuPont'!T14</f>
        <v>4138</v>
      </c>
      <c r="D30" s="99">
        <f>'TARGET LTD, STATEMENTS &amp; DuPont'!U14</f>
        <v>2780</v>
      </c>
      <c r="E30" s="99">
        <f>'TARGET LTD, STATEMENTS &amp; DuPont'!V14</f>
        <v>6946</v>
      </c>
      <c r="F30" s="100">
        <f>'TARGET LTD, STATEMENTS &amp; DuPont'!W14</f>
        <v>4368</v>
      </c>
    </row>
    <row r="31" spans="1:6" ht="19">
      <c r="A31" s="72" t="s">
        <v>215</v>
      </c>
      <c r="B31" s="106">
        <f>'TARGET LTD, STATEMENTS &amp; DuPont'!S9</f>
        <v>5566</v>
      </c>
      <c r="C31" s="101">
        <f>'TARGET LTD, STATEMENTS &amp; DuPont'!T9</f>
        <v>5707</v>
      </c>
      <c r="D31" s="101">
        <f>'TARGET LTD, STATEMENTS &amp; DuPont'!U9</f>
        <v>3848</v>
      </c>
      <c r="E31" s="101">
        <f>'TARGET LTD, STATEMENTS &amp; DuPont'!V9</f>
        <v>8946</v>
      </c>
      <c r="F31" s="102">
        <f>'TARGET LTD, STATEMENTS &amp; DuPont'!W9</f>
        <v>6539</v>
      </c>
    </row>
    <row r="32" spans="1:6" ht="19">
      <c r="A32" s="72" t="s">
        <v>212</v>
      </c>
      <c r="B32" s="106">
        <f>'TARGET LTD, STATEMENTS &amp; DuPont'!S9-'TARGET LTD, STATEMENTS &amp; DuPont'!C14</f>
        <v>31843</v>
      </c>
      <c r="C32" s="101">
        <f>'TARGET LTD, STATEMENTS &amp; DuPont'!T9-'TARGET LTD, STATEMENTS &amp; DuPont'!D14</f>
        <v>30120</v>
      </c>
      <c r="D32" s="101">
        <f>'TARGET LTD, STATEMENTS &amp; DuPont'!U9-'TARGET LTD, STATEMENTS &amp; DuPont'!E14</f>
        <v>26479</v>
      </c>
      <c r="E32" s="101">
        <f>'TARGET LTD, STATEMENTS &amp; DuPont'!V9-'TARGET LTD, STATEMENTS &amp; DuPont'!F14</f>
        <v>30083</v>
      </c>
      <c r="F32" s="102">
        <f>'TARGET LTD, STATEMENTS &amp; DuPont'!W9-'TARGET LTD, STATEMENTS &amp; DuPont'!G14</f>
        <v>26817</v>
      </c>
    </row>
    <row r="33" spans="1:9" ht="19">
      <c r="A33" s="72" t="s">
        <v>213</v>
      </c>
      <c r="B33" s="106">
        <f>'TARGET LTD, STATEMENTS &amp; DuPont'!S9*(1-B34)</f>
        <v>4328.1706899828932</v>
      </c>
      <c r="C33" s="101">
        <f>'TARGET LTD, STATEMENTS &amp; DuPont'!T9*(1-C34)</f>
        <v>4458.2907306022271</v>
      </c>
      <c r="D33" s="101">
        <f>'TARGET LTD, STATEMENTS &amp; DuPont'!U9*(1-D34)</f>
        <v>3129.7366881217085</v>
      </c>
      <c r="E33" s="101">
        <f>'TARGET LTD, STATEMENTS &amp; DuPont'!V9*(1-E34)</f>
        <v>6976.4136072751771</v>
      </c>
      <c r="F33" s="102">
        <f>'TARGET LTD, STATEMENTS &amp; DuPont'!W9*(1-F34)</f>
        <v>5150.0815001803103</v>
      </c>
    </row>
    <row r="34" spans="1:9" ht="19">
      <c r="A34" s="94" t="s">
        <v>214</v>
      </c>
      <c r="B34" s="107">
        <f>'TARGET LTD, STATEMENTS &amp; DuPont'!S13/'TARGET LTD, STATEMENTS &amp; DuPont'!S12</f>
        <v>0.22239118038395742</v>
      </c>
      <c r="C34" s="21">
        <f>'TARGET LTD, STATEMENTS &amp; DuPont'!T13/'TARGET LTD, STATEMENTS &amp; DuPont'!T12</f>
        <v>0.21880309609212761</v>
      </c>
      <c r="D34" s="21">
        <f>'TARGET LTD, STATEMENTS &amp; DuPont'!U13/'TARGET LTD, STATEMENTS &amp; DuPont'!U12</f>
        <v>0.18665886483323582</v>
      </c>
      <c r="E34" s="21">
        <f>'TARGET LTD, STATEMENTS &amp; DuPont'!V13/'TARGET LTD, STATEMENTS &amp; DuPont'!V12</f>
        <v>0.22016391602110699</v>
      </c>
      <c r="F34" s="22">
        <f>'TARGET LTD, STATEMENTS &amp; DuPont'!W13/'TARGET LTD, STATEMENTS &amp; DuPont'!W12</f>
        <v>0.2124053371799495</v>
      </c>
    </row>
    <row r="35" spans="1:9" ht="19">
      <c r="A35" s="72" t="s">
        <v>217</v>
      </c>
      <c r="B35" s="106">
        <f>'TARGET LTD, STATEMENTS &amp; DuPont'!S14+'TARGET LTD, STATEMENTS &amp; DuPont'!S6+('TARGET LTD, STATEMENTS &amp; DuPont'!C4-'TARGET LTD, STATEMENTS &amp; DuPont'!D4)+('TARGET LTD, STATEMENTS &amp; DuPont'!K12-'TARGET LTD, STATEMENTS &amp; DuPont'!L12)+'TARGET LTD, STATEMENTS &amp; DuPont'!S13</f>
        <v>10868</v>
      </c>
      <c r="C35" s="101">
        <f>'TARGET LTD, STATEMENTS &amp; DuPont'!T14+'TARGET LTD, STATEMENTS &amp; DuPont'!T6+('TARGET LTD, STATEMENTS &amp; DuPont'!D4-'TARGET LTD, STATEMENTS &amp; DuPont'!E4)+('TARGET LTD, STATEMENTS &amp; DuPont'!L12-'TARGET LTD, STATEMENTS &amp; DuPont'!M12)+'TARGET LTD, STATEMENTS &amp; DuPont'!T13</f>
        <v>7120</v>
      </c>
      <c r="D35" s="101">
        <f>'TARGET LTD, STATEMENTS &amp; DuPont'!U14+'TARGET LTD, STATEMENTS &amp; DuPont'!U6+('TARGET LTD, STATEMENTS &amp; DuPont'!E4-'TARGET LTD, STATEMENTS &amp; DuPont'!F4)+('TARGET LTD, STATEMENTS &amp; DuPont'!M12-'TARGET LTD, STATEMENTS &amp; DuPont'!N12)+'TARGET LTD, STATEMENTS &amp; DuPont'!U13</f>
        <v>535</v>
      </c>
      <c r="E35" s="101">
        <f>'TARGET LTD, STATEMENTS &amp; DuPont'!V14+'TARGET LTD, STATEMENTS &amp; DuPont'!V6+('TARGET LTD, STATEMENTS &amp; DuPont'!F4-'TARGET LTD, STATEMENTS &amp; DuPont'!G4)+('TARGET LTD, STATEMENTS &amp; DuPont'!N12-'TARGET LTD, STATEMENTS &amp; DuPont'!O12)+'TARGET LTD, STATEMENTS &amp; DuPont'!V13</f>
        <v>14203</v>
      </c>
      <c r="F35" s="102">
        <f>'TARGET LTD, STATEMENTS &amp; DuPont'!W14+'TARGET LTD, STATEMENTS &amp; DuPont'!W6+('TARGET LTD, STATEMENTS &amp; DuPont'!G4-'TARGET LTD, STATEMENTS &amp; DuPont'!H4)+('TARGET LTD, STATEMENTS &amp; DuPont'!O12-'TARGET LTD, STATEMENTS &amp; DuPont'!P12)+'TARGET LTD, STATEMENTS &amp; DuPont'!W13</f>
        <v>21354</v>
      </c>
    </row>
    <row r="36" spans="1:9" ht="20" thickBot="1">
      <c r="A36" s="72" t="s">
        <v>218</v>
      </c>
      <c r="B36" s="108">
        <f>(B35+'TARGET LTD, STATEMENTS &amp; DuPont'!K15)-'TARGET LTD, STATEMENTS &amp; DuPont'!S10</f>
        <v>7566</v>
      </c>
      <c r="C36" s="103">
        <f>(C35+'TARGET LTD, STATEMENTS &amp; DuPont'!L15)-'TARGET LTD, STATEMENTS &amp; DuPont'!T10</f>
        <v>1812</v>
      </c>
      <c r="D36" s="103">
        <f>(D35+'TARGET LTD, STATEMENTS &amp; DuPont'!M15)-'TARGET LTD, STATEMENTS &amp; DuPont'!U10</f>
        <v>-5471</v>
      </c>
      <c r="E36" s="103">
        <f>(E35+'TARGET LTD, STATEMENTS &amp; DuPont'!N15)-'TARGET LTD, STATEMENTS &amp; DuPont'!V10</f>
        <v>17326</v>
      </c>
      <c r="F36" s="104">
        <f>(F35+'TARGET LTD, STATEMENTS &amp; DuPont'!O15)-'TARGET LTD, STATEMENTS &amp; DuPont'!W10</f>
        <v>17728</v>
      </c>
    </row>
    <row r="38" spans="1:9" ht="35" thickBot="1">
      <c r="A38" s="2" t="s">
        <v>117</v>
      </c>
    </row>
    <row r="39" spans="1:9" ht="19">
      <c r="A39" s="72" t="s">
        <v>118</v>
      </c>
      <c r="B39" s="109">
        <f>'TARGET LTD, STATEMENTS &amp; DuPont'!S14/'TARGET LTD, STATEMENTS &amp; DuPont'!S18</f>
        <v>8.8857515204170294</v>
      </c>
      <c r="C39" s="110">
        <f>'TARGET LTD, STATEMENTS &amp; DuPont'!T14/'TARGET LTD, STATEMENTS &amp; DuPont'!T18</f>
        <v>8.9664138678223182</v>
      </c>
      <c r="D39" s="110">
        <f>'TARGET LTD, STATEMENTS &amp; DuPont'!U14/'TARGET LTD, STATEMENTS &amp; DuPont'!U18</f>
        <v>6.0160138498160567</v>
      </c>
      <c r="E39" s="110">
        <f>'TARGET LTD, STATEMENTS &amp; DuPont'!V14/'TARGET LTD, STATEMENTS &amp; DuPont'!V18</f>
        <v>14.230690432288466</v>
      </c>
      <c r="F39" s="111">
        <f>'TARGET LTD, STATEMENTS &amp; DuPont'!W14/'TARGET LTD, STATEMENTS &amp; DuPont'!W18</f>
        <v>8.7255293647622842</v>
      </c>
    </row>
    <row r="40" spans="1:9" ht="19">
      <c r="A40" s="72" t="s">
        <v>119</v>
      </c>
      <c r="B40" s="112">
        <f ca="1">I41/'TARGET LTD, STATEMENTS &amp; DuPont'!S14</f>
        <v>2.2811048643363478E-2</v>
      </c>
      <c r="C40" s="113">
        <f ca="1">I44/'TARGET LTD, STATEMENTS &amp; DuPont'!T14</f>
        <v>3.2636539391010154E-2</v>
      </c>
      <c r="D40" s="113">
        <f ca="1">I46/'TARGET LTD, STATEMENTS &amp; DuPont'!U14</f>
        <v>5.1230215827338124E-2</v>
      </c>
      <c r="E40" s="113">
        <f ca="1">I48/'TARGET LTD, STATEMENTS &amp; DuPont'!V14</f>
        <v>2.1456953642384105E-2</v>
      </c>
      <c r="F40" s="114">
        <f ca="1">I50/'TARGET LTD, STATEMENTS &amp; DuPont'!W14</f>
        <v>5.3092948717948715E-2</v>
      </c>
      <c r="H40" t="str" cm="1">
        <f t="array" aca="1" ref="H40:I42" ca="1">_xlfn.STOCKHISTORY("TGT",TODAY()-1,TODAY(),0,1)</f>
        <v>Date</v>
      </c>
      <c r="I40" t="str">
        <f ca="1"/>
        <v>Close</v>
      </c>
    </row>
    <row r="41" spans="1:9" ht="19">
      <c r="A41" s="72" t="s">
        <v>120</v>
      </c>
      <c r="B41" s="26">
        <f ca="1">'Traget-ratios'!I41/('TARGET LTD, STATEMENTS &amp; DuPont'!C35/'TARGET LTD, STATEMENTS &amp; DuPont'!S18)</f>
        <v>2.9295327969453155</v>
      </c>
      <c r="C41" s="27">
        <f ca="1">'Traget-ratios'!I44/('TARGET LTD, STATEMENTS &amp; DuPont'!D35/'TARGET LTD, STATEMENTS &amp; DuPont'!T18)</f>
        <v>4.6400815217391305</v>
      </c>
      <c r="D41" s="27">
        <f ca="1">'Traget-ratios'!I46/('TARGET LTD, STATEMENTS &amp; DuPont'!E35/'TARGET LTD, STATEMENTS &amp; DuPont'!U18)</f>
        <v>5.8593555911680912</v>
      </c>
      <c r="E41" s="27">
        <f ca="1">'Traget-ratios'!I48/('TARGET LTD, STATEMENTS &amp; DuPont'!F35/'TARGET LTD, STATEMENTS &amp; DuPont'!V18)</f>
        <v>5.671351368207687</v>
      </c>
      <c r="F41" s="28">
        <f ca="1">'Traget-ratios'!I50/('TARGET LTD, STATEMENTS &amp; DuPont'!G35/'TARGET LTD, STATEMENTS &amp; DuPont'!W18)</f>
        <v>8.0397608033240999</v>
      </c>
      <c r="H41" vm="1">
        <f ca="1"/>
        <v>45810</v>
      </c>
      <c r="I41" vm="11">
        <f ca="1"/>
        <v>93.32</v>
      </c>
    </row>
    <row r="42" spans="1:9" ht="19">
      <c r="A42" s="72" t="s">
        <v>121</v>
      </c>
      <c r="B42" s="18">
        <f ca="1">1.12/I41</f>
        <v>1.2001714530647238E-2</v>
      </c>
      <c r="C42" s="19">
        <f ca="1">4.44/I44</f>
        <v>3.287671232876712E-2</v>
      </c>
      <c r="D42" s="19">
        <f ca="1">4.36/I46</f>
        <v>3.061367785423396E-2</v>
      </c>
      <c r="E42" s="19">
        <f ca="1">3.96/I48</f>
        <v>2.6570048309178744E-2</v>
      </c>
      <c r="F42" s="20">
        <f ca="1">3.16/I50</f>
        <v>1.3625975593980424E-2</v>
      </c>
      <c r="H42" vm="12">
        <f ca="1"/>
        <v>45811</v>
      </c>
      <c r="I42" vm="13">
        <f ca="1"/>
        <v>95.78</v>
      </c>
    </row>
    <row r="43" spans="1:9" ht="19">
      <c r="A43" s="72" t="s">
        <v>122</v>
      </c>
      <c r="B43" s="23">
        <f ca="1">I41*'TARGET LTD, STATEMENTS &amp; DuPont'!S18</f>
        <v>42964.527999999991</v>
      </c>
      <c r="C43" s="24">
        <f ca="1">I44*'TARGET LTD, STATEMENTS &amp; DuPont'!T18</f>
        <v>62325.575000000004</v>
      </c>
      <c r="D43" s="24">
        <f ca="1">I46*'TARGET LTD, STATEMENTS &amp; DuPont'!U18</f>
        <v>65812.281999999992</v>
      </c>
      <c r="E43" s="24">
        <f ca="1">I48*'TARGET LTD, STATEMENTS &amp; DuPont'!V18</f>
        <v>72746.423999999999</v>
      </c>
      <c r="F43" s="25">
        <f ca="1">I50*'TARGET LTD, STATEMENTS &amp; DuPont'!W18</f>
        <v>116094.14600000001</v>
      </c>
      <c r="H43" t="str" cm="1">
        <f t="array" aca="1" ref="H43:I44" ca="1">_xlfn.STOCKHISTORY("TGT",DATE(2024,12,30),DATE(2024,12,30),0,1)</f>
        <v>Date</v>
      </c>
      <c r="I43" t="str">
        <f ca="1"/>
        <v>Close</v>
      </c>
    </row>
    <row r="44" spans="1:9" ht="20" thickBot="1">
      <c r="A44" s="72" t="s">
        <v>123</v>
      </c>
      <c r="B44" s="115">
        <f ca="1">((B43+'TARGET LTD, STATEMENTS &amp; DuPont'!C25+'TARGET LTD, STATEMENTS &amp; DuPont'!C28)-'TARGET LTD, STATEMENTS &amp; DuPont'!C3)/('TARGET LTD, STATEMENTS &amp; DuPont'!S9+'TARGET LTD, STATEMENTS &amp; DuPont'!S6)</f>
        <v>6.7475636812847428</v>
      </c>
      <c r="C44" s="116">
        <f ca="1">((C43+'TARGET LTD, STATEMENTS &amp; DuPont'!D25+'TARGET LTD, STATEMENTS &amp; DuPont'!D28)-'TARGET LTD, STATEMENTS &amp; DuPont'!D3)/('TARGET LTD, STATEMENTS &amp; DuPont'!T9+'TARGET LTD, STATEMENTS &amp; DuPont'!T6)</f>
        <v>9.2811591972420597</v>
      </c>
      <c r="D44" s="116">
        <f ca="1">((D43+'TARGET LTD, STATEMENTS &amp; DuPont'!E25+'TARGET LTD, STATEMENTS &amp; DuPont'!E28)-'TARGET LTD, STATEMENTS &amp; DuPont'!E3)/('TARGET LTD, STATEMENTS &amp; DuPont'!U9+'TARGET LTD, STATEMENTS &amp; DuPont'!U6)</f>
        <v>13.051866196053263</v>
      </c>
      <c r="E44" s="116">
        <f ca="1">((E43+'TARGET LTD, STATEMENTS &amp; DuPont'!F25+'TARGET LTD, STATEMENTS &amp; DuPont'!F28)-'TARGET LTD, STATEMENTS &amp; DuPont'!F3)/('TARGET LTD, STATEMENTS &amp; DuPont'!V9+'TARGET LTD, STATEMENTS &amp; DuPont'!V6)</f>
        <v>7.264253675819309</v>
      </c>
      <c r="F44" s="117">
        <f ca="1">((F43+'TARGET LTD, STATEMENTS &amp; DuPont'!G25+'TARGET LTD, STATEMENTS &amp; DuPont'!G28)-'TARGET LTD, STATEMENTS &amp; DuPont'!G3)/('TARGET LTD, STATEMENTS &amp; DuPont'!W9+'TARGET LTD, STATEMENTS &amp; DuPont'!W6)</f>
        <v>13.805239594024405</v>
      </c>
      <c r="H44" vm="14">
        <f ca="1"/>
        <v>45656</v>
      </c>
      <c r="I44" vm="15">
        <f ca="1"/>
        <v>135.05000000000001</v>
      </c>
    </row>
    <row r="45" spans="1:9">
      <c r="H45" t="str" cm="1">
        <f t="array" aca="1" ref="H45:I46" ca="1">_xlfn.STOCKHISTORY("TGT",DATE(2023,12,29),DATE(2023,12,29),0,1)</f>
        <v>Date</v>
      </c>
      <c r="I45" t="str">
        <f ca="1"/>
        <v>Close</v>
      </c>
    </row>
    <row r="46" spans="1:9">
      <c r="H46" vm="5">
        <f ca="1"/>
        <v>45289</v>
      </c>
      <c r="I46" vm="16">
        <f ca="1"/>
        <v>142.41999999999999</v>
      </c>
    </row>
    <row r="47" spans="1:9">
      <c r="H47" t="str" cm="1">
        <f t="array" aca="1" ref="H47:I48" ca="1">_xlfn.STOCKHISTORY("TGT",DATE(2022,12,30),DATE(2022,12,30),0,1)</f>
        <v>Date</v>
      </c>
      <c r="I47" t="str">
        <f ca="1"/>
        <v>Close</v>
      </c>
    </row>
    <row r="48" spans="1:9">
      <c r="H48" vm="7">
        <f ca="1"/>
        <v>44925</v>
      </c>
      <c r="I48" vm="17">
        <f ca="1"/>
        <v>149.04</v>
      </c>
    </row>
    <row r="49" spans="8:9">
      <c r="H49" t="str" cm="1">
        <f t="array" aca="1" ref="H49:I50" ca="1">_xlfn.STOCKHISTORY("TGT",DATE(2021,12,30),DATE(2021,12,30),0,1)</f>
        <v>Date</v>
      </c>
      <c r="I49" t="str">
        <f ca="1"/>
        <v>Close</v>
      </c>
    </row>
    <row r="50" spans="8:9">
      <c r="H50" vm="18">
        <f ca="1"/>
        <v>44560</v>
      </c>
      <c r="I50" vm="19">
        <f ca="1"/>
        <v>231.91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F60A-919A-174E-A4C2-CE1F79605764}">
  <dimension ref="A1"/>
  <sheetViews>
    <sheetView workbookViewId="0">
      <selection activeCell="A3" sqref="A3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WALMART-Cash Flow Statements</vt:lpstr>
      <vt:lpstr>WALMART-Balance Sheet</vt:lpstr>
      <vt:lpstr>WALMART-Income Statement</vt:lpstr>
      <vt:lpstr>WALMART-Ratios </vt:lpstr>
      <vt:lpstr>Trend Analysis-5 Years</vt:lpstr>
      <vt:lpstr>WALMART-DuPont Model</vt:lpstr>
      <vt:lpstr>TARGET LTD, STATEMENTS &amp; DuPont</vt:lpstr>
      <vt:lpstr>Traget-ratios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Kasi, Punit Alagappan</dc:creator>
  <cp:lastModifiedBy>Kasi, Punit Alagappan</cp:lastModifiedBy>
  <dcterms:created xsi:type="dcterms:W3CDTF">2025-06-02T00:24:25Z</dcterms:created>
  <dcterms:modified xsi:type="dcterms:W3CDTF">2025-06-04T05:00:26Z</dcterms:modified>
</cp:coreProperties>
</file>