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unit\OneDrive\Desktop\FIN523\Assignment 1\"/>
    </mc:Choice>
  </mc:AlternateContent>
  <xr:revisionPtr revIDLastSave="0" documentId="13_ncr:1_{D40A3D72-33CC-44B0-B565-2166346DD4DF}" xr6:coauthVersionLast="47" xr6:coauthVersionMax="47" xr10:uidLastSave="{00000000-0000-0000-0000-000000000000}"/>
  <bookViews>
    <workbookView xWindow="-108" yWindow="-108" windowWidth="23256" windowHeight="12456" xr2:uid="{FF509754-EA56-4FB0-8DC6-F87B327ADEB0}"/>
  </bookViews>
  <sheets>
    <sheet name="Template-BondValuation" sheetId="1" r:id="rId1"/>
    <sheet name="Snapsho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C9" i="1"/>
  <c r="J16" i="1"/>
  <c r="B19" i="1"/>
  <c r="G19" i="1"/>
  <c r="B15" i="1"/>
  <c r="E6" i="1" s="1"/>
  <c r="E9" i="1"/>
  <c r="H9" i="1" s="1"/>
  <c r="E10" i="1"/>
  <c r="I10" i="1" s="1"/>
  <c r="E7" i="1"/>
  <c r="D8" i="1"/>
  <c r="D9" i="1" s="1"/>
  <c r="D10" i="1" s="1"/>
  <c r="D11" i="1" s="1"/>
  <c r="D12" i="1" s="1"/>
  <c r="D13" i="1" s="1"/>
  <c r="D14" i="1" s="1"/>
  <c r="D15" i="1" s="1"/>
  <c r="D7" i="1"/>
  <c r="B14" i="1"/>
  <c r="I9" i="1"/>
  <c r="B16" i="1"/>
  <c r="C8" i="1"/>
  <c r="F6" i="1"/>
  <c r="B17" i="1"/>
  <c r="B20" i="1"/>
  <c r="B2" i="2"/>
  <c r="E15" i="1" l="1"/>
  <c r="I15" i="1" s="1"/>
  <c r="E14" i="1"/>
  <c r="E13" i="1"/>
  <c r="I13" i="1" s="1"/>
  <c r="H10" i="1"/>
  <c r="E12" i="1"/>
  <c r="E11" i="1"/>
  <c r="I11" i="1" s="1"/>
  <c r="E8" i="1"/>
  <c r="H15" i="1"/>
  <c r="H13" i="1"/>
  <c r="B18" i="1"/>
  <c r="I7" i="1"/>
  <c r="H7" i="1"/>
  <c r="B22" i="1"/>
  <c r="H8" i="1" l="1"/>
  <c r="I8" i="1"/>
  <c r="I12" i="1"/>
  <c r="H12" i="1"/>
  <c r="I14" i="1"/>
  <c r="H14" i="1"/>
  <c r="H11" i="1"/>
  <c r="H6" i="1"/>
  <c r="G6" i="1" s="1"/>
  <c r="I6" i="1"/>
  <c r="F7" i="1"/>
  <c r="J6" i="1" l="1"/>
  <c r="F8" i="1"/>
  <c r="G7" i="1"/>
  <c r="J7" i="1" l="1"/>
  <c r="F9" i="1"/>
  <c r="G8" i="1"/>
  <c r="J8" i="1" s="1"/>
  <c r="F10" i="1" l="1"/>
  <c r="G9" i="1"/>
  <c r="J9" i="1" s="1"/>
  <c r="F11" i="1" l="1"/>
  <c r="G10" i="1"/>
  <c r="J10" i="1" l="1"/>
  <c r="F12" i="1"/>
  <c r="G11" i="1"/>
  <c r="J11" i="1" s="1"/>
  <c r="F13" i="1" l="1"/>
  <c r="G12" i="1"/>
  <c r="J12" i="1" l="1"/>
  <c r="G13" i="1"/>
  <c r="J13" i="1" s="1"/>
  <c r="F14" i="1"/>
  <c r="F15" i="1" s="1"/>
  <c r="G15" i="1" l="1"/>
  <c r="G14" i="1"/>
  <c r="J14" i="1" s="1"/>
  <c r="J15" i="1" l="1"/>
  <c r="G16" i="1"/>
</calcChain>
</file>

<file path=xl/sharedStrings.xml><?xml version="1.0" encoding="utf-8"?>
<sst xmlns="http://schemas.openxmlformats.org/spreadsheetml/2006/main" count="33" uniqueCount="32">
  <si>
    <t>Issue Date</t>
  </si>
  <si>
    <t>1st Coupon Date</t>
  </si>
  <si>
    <t>Settlement Date</t>
  </si>
  <si>
    <t>Maturity Date</t>
  </si>
  <si>
    <t>Annual Coupon Rate</t>
  </si>
  <si>
    <t>Yield to Maturity</t>
  </si>
  <si>
    <t>Redemption value (% of face value)</t>
  </si>
  <si>
    <t>Coupon payments per year</t>
  </si>
  <si>
    <t>Face Value</t>
  </si>
  <si>
    <t>Flat Price (% of par)</t>
  </si>
  <si>
    <t>Days since last coupon</t>
  </si>
  <si>
    <t>Days in coupon period</t>
  </si>
  <si>
    <t>Accrued Interest</t>
  </si>
  <si>
    <t>Invoice Price</t>
  </si>
  <si>
    <t>Duration (Macaulay)</t>
  </si>
  <si>
    <t>Modified Duration</t>
  </si>
  <si>
    <t>YIELD(If 95% of the value calculated in Question 2)</t>
  </si>
  <si>
    <t xml:space="preserve">5-Year Note </t>
  </si>
  <si>
    <t xml:space="preserve">Settlement Date </t>
  </si>
  <si>
    <t>Coupon Rate</t>
  </si>
  <si>
    <t>Yield to Maturity(YTM)</t>
  </si>
  <si>
    <t>Market Price(Clean Price)</t>
  </si>
  <si>
    <t>5-Year Note, CUSIP Number: 91282CPN5</t>
  </si>
  <si>
    <t>Cash Flow</t>
  </si>
  <si>
    <t>PV(CF)* (t2 + t)</t>
  </si>
  <si>
    <t>discount factor</t>
  </si>
  <si>
    <t>Convexity</t>
  </si>
  <si>
    <t xml:space="preserve">semi-annual convexity </t>
  </si>
  <si>
    <t>PV (%)</t>
  </si>
  <si>
    <t xml:space="preserve"> (t^2 + t)</t>
  </si>
  <si>
    <t xml:space="preserve">Time period </t>
  </si>
  <si>
    <t xml:space="preserve">Real Time Period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</si>
</sst>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00"/>
    <numFmt numFmtId="167" formatCode="0.000"/>
    <numFmt numFmtId="171" formatCode="_-[$$-409]* #,##0.00_ ;_-[$$-409]* \-#,##0.00\ ;_-[$$-409]* &quot;-&quot;??_ ;_-@_ "/>
  </numFmts>
  <fonts count="9" x14ac:knownFonts="1">
    <font>
      <sz val="11"/>
      <color theme="1"/>
      <name val="Calibri"/>
      <family val="2"/>
      <scheme val="minor"/>
    </font>
    <font>
      <b/>
      <u val="double"/>
      <sz val="14"/>
      <color theme="3" tint="-0.499984740745262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theme="3" tint="0.3999755851924192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u val="double"/>
      <sz val="14"/>
      <color theme="3" tint="-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9">
    <xf numFmtId="0" fontId="0" fillId="0" borderId="0" xfId="0"/>
    <xf numFmtId="164" fontId="2" fillId="0" borderId="0" xfId="0" applyNumberFormat="1" applyFont="1" applyAlignment="1">
      <alignment horizontal="left"/>
    </xf>
    <xf numFmtId="14" fontId="3" fillId="2" borderId="1" xfId="0" applyNumberFormat="1" applyFont="1" applyFill="1" applyBorder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16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2" fontId="0" fillId="0" borderId="0" xfId="0" applyNumberFormat="1"/>
    <xf numFmtId="14" fontId="0" fillId="0" borderId="0" xfId="0" applyNumberFormat="1"/>
    <xf numFmtId="10" fontId="0" fillId="0" borderId="0" xfId="0" applyNumberFormat="1"/>
    <xf numFmtId="171" fontId="0" fillId="0" borderId="0" xfId="0" applyNumberFormat="1"/>
    <xf numFmtId="10" fontId="3" fillId="2" borderId="1" xfId="1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2" fontId="4" fillId="0" borderId="0" xfId="0" applyNumberFormat="1" applyFont="1"/>
    <xf numFmtId="0" fontId="7" fillId="4" borderId="0" xfId="0" applyFont="1" applyFill="1"/>
    <xf numFmtId="0" fontId="0" fillId="0" borderId="1" xfId="0" applyBorder="1"/>
    <xf numFmtId="0" fontId="0" fillId="0" borderId="1" xfId="0" applyFill="1" applyBorder="1"/>
    <xf numFmtId="0" fontId="8" fillId="0" borderId="1" xfId="0" applyFont="1" applyBorder="1"/>
    <xf numFmtId="165" fontId="0" fillId="0" borderId="1" xfId="0" applyNumberFormat="1" applyBorder="1"/>
    <xf numFmtId="167" fontId="0" fillId="0" borderId="1" xfId="0" applyNumberFormat="1" applyBorder="1"/>
    <xf numFmtId="2" fontId="0" fillId="0" borderId="1" xfId="0" applyNumberFormat="1" applyBorder="1"/>
    <xf numFmtId="167" fontId="0" fillId="3" borderId="0" xfId="0" applyNumberFormat="1" applyFill="1"/>
    <xf numFmtId="10" fontId="0" fillId="0" borderId="0" xfId="1" applyNumberFormat="1" applyFont="1"/>
    <xf numFmtId="0" fontId="0" fillId="0" borderId="2" xfId="0" applyBorder="1"/>
    <xf numFmtId="167" fontId="0" fillId="4" borderId="2" xfId="0" applyNumberFormat="1" applyFill="1" applyBorder="1"/>
    <xf numFmtId="2" fontId="0" fillId="4" borderId="2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18BB1-73E0-4ABE-81B1-DAC1D6E8B534}">
  <dimension ref="A1:J24"/>
  <sheetViews>
    <sheetView tabSelected="1" topLeftCell="A2" workbookViewId="0">
      <selection activeCell="G18" sqref="G18"/>
    </sheetView>
  </sheetViews>
  <sheetFormatPr defaultColWidth="8.77734375" defaultRowHeight="14.4" x14ac:dyDescent="0.3"/>
  <cols>
    <col min="1" max="1" width="43.6640625" customWidth="1"/>
    <col min="2" max="2" width="22" customWidth="1"/>
    <col min="3" max="4" width="15.77734375" customWidth="1"/>
    <col min="5" max="5" width="14.6640625" customWidth="1"/>
    <col min="6" max="6" width="13" customWidth="1"/>
    <col min="7" max="7" width="12.88671875" customWidth="1"/>
    <col min="8" max="8" width="14.6640625" customWidth="1"/>
    <col min="10" max="10" width="12.77734375" customWidth="1"/>
  </cols>
  <sheetData>
    <row r="1" spans="1:10" ht="39" customHeight="1" x14ac:dyDescent="0.3">
      <c r="A1" s="15" t="s">
        <v>22</v>
      </c>
      <c r="B1" s="9"/>
    </row>
    <row r="4" spans="1:10" ht="15.6" x14ac:dyDescent="0.3">
      <c r="A4" s="1" t="s">
        <v>0</v>
      </c>
      <c r="B4" s="2">
        <v>45992</v>
      </c>
      <c r="E4" s="11"/>
    </row>
    <row r="5" spans="1:10" ht="15.6" x14ac:dyDescent="0.3">
      <c r="A5" s="1" t="s">
        <v>1</v>
      </c>
      <c r="B5" s="2">
        <v>46173</v>
      </c>
      <c r="D5" s="18" t="s">
        <v>30</v>
      </c>
      <c r="E5" s="20" t="s">
        <v>31</v>
      </c>
      <c r="F5" s="20" t="s">
        <v>23</v>
      </c>
      <c r="G5" s="20" t="s">
        <v>28</v>
      </c>
      <c r="H5" s="20" t="s">
        <v>25</v>
      </c>
      <c r="I5" s="20" t="s">
        <v>29</v>
      </c>
      <c r="J5" s="20" t="s">
        <v>24</v>
      </c>
    </row>
    <row r="6" spans="1:10" ht="15.6" x14ac:dyDescent="0.3">
      <c r="A6" s="3" t="s">
        <v>2</v>
      </c>
      <c r="B6" s="2">
        <v>46070</v>
      </c>
      <c r="D6" s="18">
        <v>1</v>
      </c>
      <c r="E6" s="22">
        <f>D6-1+($B$15/$B$16)</f>
        <v>0.43646408839779005</v>
      </c>
      <c r="F6" s="18">
        <f>(B8/2)*B12</f>
        <v>1.7500000000000002</v>
      </c>
      <c r="G6" s="23">
        <f>F6/H6</f>
        <v>1.7367989418337648</v>
      </c>
      <c r="H6" s="21">
        <f>(1+$C$8)^E6</f>
        <v>1.0076007981397648</v>
      </c>
      <c r="I6" s="19">
        <f>(E6^2)+E6</f>
        <v>0.62696498885870389</v>
      </c>
      <c r="J6" s="23">
        <f>G6*I6</f>
        <v>1.0889121292166151</v>
      </c>
    </row>
    <row r="7" spans="1:10" ht="15.6" x14ac:dyDescent="0.3">
      <c r="A7" s="3" t="s">
        <v>3</v>
      </c>
      <c r="B7" s="2">
        <v>47817</v>
      </c>
      <c r="D7" s="18">
        <f>D6+1</f>
        <v>2</v>
      </c>
      <c r="E7" s="22">
        <f>D7-1+($B$15/$B$16)</f>
        <v>1.4364640883977899</v>
      </c>
      <c r="F7" s="18">
        <f>F6</f>
        <v>1.7500000000000002</v>
      </c>
      <c r="G7" s="23">
        <f>F7/H7</f>
        <v>1.7069277069619306</v>
      </c>
      <c r="H7" s="21">
        <f t="shared" ref="H7:H15" si="0">(1+$C$8)^E7</f>
        <v>1.0252338121072109</v>
      </c>
      <c r="I7" s="19">
        <f t="shared" ref="I7:I15" si="1">(E7^2)+E7</f>
        <v>3.4998931656542838</v>
      </c>
      <c r="J7" s="23">
        <f t="shared" ref="J7:J10" si="2">G7*I7</f>
        <v>5.974064615861999</v>
      </c>
    </row>
    <row r="8" spans="1:10" ht="15.6" x14ac:dyDescent="0.3">
      <c r="A8" s="3" t="s">
        <v>4</v>
      </c>
      <c r="B8" s="14">
        <v>3.5000000000000003E-2</v>
      </c>
      <c r="C8" s="25">
        <f>B8/2</f>
        <v>1.7500000000000002E-2</v>
      </c>
      <c r="D8" s="18">
        <f t="shared" ref="D8:D15" si="3">D7+1</f>
        <v>3</v>
      </c>
      <c r="E8" s="22">
        <f t="shared" ref="E8:E15" si="4">D8-1+($B$15/$B$16)</f>
        <v>2.4364640883977899</v>
      </c>
      <c r="F8" s="18">
        <f>F7</f>
        <v>1.7500000000000002</v>
      </c>
      <c r="G8" s="23">
        <f t="shared" ref="G8:G15" si="5">F8/H8</f>
        <v>1.6775702279724134</v>
      </c>
      <c r="H8" s="21">
        <f t="shared" si="0"/>
        <v>1.043175403819087</v>
      </c>
      <c r="I8" s="19">
        <f t="shared" si="1"/>
        <v>8.3728213424498641</v>
      </c>
      <c r="J8" s="23">
        <f t="shared" si="2"/>
        <v>14.045995808225907</v>
      </c>
    </row>
    <row r="9" spans="1:10" ht="15.6" x14ac:dyDescent="0.3">
      <c r="A9" s="3" t="s">
        <v>5</v>
      </c>
      <c r="B9" s="14">
        <v>3.5619999999999999E-2</v>
      </c>
      <c r="C9" s="25">
        <f>B9/2</f>
        <v>1.7809999999999999E-2</v>
      </c>
      <c r="D9" s="18">
        <f t="shared" si="3"/>
        <v>4</v>
      </c>
      <c r="E9" s="22">
        <f t="shared" si="4"/>
        <v>3.4364640883977899</v>
      </c>
      <c r="F9" s="18">
        <f>F8</f>
        <v>1.7500000000000002</v>
      </c>
      <c r="G9" s="23">
        <f t="shared" si="5"/>
        <v>1.6487176687689562</v>
      </c>
      <c r="H9" s="21">
        <f t="shared" si="0"/>
        <v>1.0614309733859213</v>
      </c>
      <c r="I9" s="19">
        <f t="shared" si="1"/>
        <v>15.245749519245443</v>
      </c>
      <c r="J9" s="23">
        <f>G9*I9</f>
        <v>25.135936606005782</v>
      </c>
    </row>
    <row r="10" spans="1:10" ht="15.6" x14ac:dyDescent="0.3">
      <c r="A10" s="3" t="s">
        <v>6</v>
      </c>
      <c r="B10" s="4">
        <v>100</v>
      </c>
      <c r="D10" s="18">
        <f t="shared" si="3"/>
        <v>5</v>
      </c>
      <c r="E10" s="22">
        <f t="shared" si="4"/>
        <v>4.4364640883977904</v>
      </c>
      <c r="F10" s="18">
        <f t="shared" ref="F10:F14" si="6">F9</f>
        <v>1.7500000000000002</v>
      </c>
      <c r="G10" s="23">
        <f t="shared" si="5"/>
        <v>1.6203613452274754</v>
      </c>
      <c r="H10" s="21">
        <f t="shared" si="0"/>
        <v>1.0800060154201749</v>
      </c>
      <c r="I10" s="19">
        <f t="shared" si="1"/>
        <v>24.118677696041029</v>
      </c>
      <c r="J10" s="23">
        <f>G10*I10</f>
        <v>39.08097303666495</v>
      </c>
    </row>
    <row r="11" spans="1:10" ht="15.6" x14ac:dyDescent="0.3">
      <c r="A11" s="3" t="s">
        <v>7</v>
      </c>
      <c r="B11" s="4">
        <v>2</v>
      </c>
      <c r="D11" s="18">
        <f t="shared" si="3"/>
        <v>6</v>
      </c>
      <c r="E11" s="22">
        <f t="shared" si="4"/>
        <v>5.4364640883977904</v>
      </c>
      <c r="F11" s="18">
        <f t="shared" si="6"/>
        <v>1.7500000000000002</v>
      </c>
      <c r="G11" s="23">
        <f>F11/H11</f>
        <v>1.5924927225822851</v>
      </c>
      <c r="H11" s="21">
        <f t="shared" si="0"/>
        <v>1.0989061206900281</v>
      </c>
      <c r="I11" s="19">
        <f t="shared" si="1"/>
        <v>34.991605872836608</v>
      </c>
      <c r="J11" s="23">
        <f t="shared" ref="J11:J15" si="7">G11*I11</f>
        <v>55.72387770395985</v>
      </c>
    </row>
    <row r="12" spans="1:10" ht="15.6" x14ac:dyDescent="0.3">
      <c r="A12" s="3" t="s">
        <v>8</v>
      </c>
      <c r="B12" s="4">
        <v>100</v>
      </c>
      <c r="D12" s="18">
        <f t="shared" si="3"/>
        <v>7</v>
      </c>
      <c r="E12" s="22">
        <f t="shared" si="4"/>
        <v>6.4364640883977904</v>
      </c>
      <c r="F12" s="18">
        <f t="shared" si="6"/>
        <v>1.7500000000000002</v>
      </c>
      <c r="G12" s="23">
        <f t="shared" si="5"/>
        <v>1.5651034128572829</v>
      </c>
      <c r="H12" s="21">
        <f t="shared" si="0"/>
        <v>1.1181369778021035</v>
      </c>
      <c r="I12" s="19">
        <f t="shared" si="1"/>
        <v>47.864534049632191</v>
      </c>
      <c r="J12" s="23">
        <f t="shared" si="7"/>
        <v>74.912945595902968</v>
      </c>
    </row>
    <row r="13" spans="1:10" ht="15.6" x14ac:dyDescent="0.3">
      <c r="A13" s="3"/>
      <c r="D13" s="18">
        <f t="shared" si="3"/>
        <v>8</v>
      </c>
      <c r="E13" s="22">
        <f t="shared" si="4"/>
        <v>7.4364640883977904</v>
      </c>
      <c r="F13" s="18">
        <f t="shared" si="6"/>
        <v>1.7500000000000002</v>
      </c>
      <c r="G13" s="23">
        <f t="shared" si="5"/>
        <v>1.5381851723413096</v>
      </c>
      <c r="H13" s="21">
        <f t="shared" si="0"/>
        <v>1.1377043749136406</v>
      </c>
      <c r="I13" s="19">
        <f t="shared" si="1"/>
        <v>62.737462226427773</v>
      </c>
      <c r="J13" s="23">
        <f t="shared" si="7"/>
        <v>96.501834147014208</v>
      </c>
    </row>
    <row r="14" spans="1:10" ht="15.6" x14ac:dyDescent="0.3">
      <c r="A14" s="3" t="s">
        <v>9</v>
      </c>
      <c r="B14" s="5">
        <f>PRICE(B6,B7,B8,B9,B10,2,1)</f>
        <v>99.725751162987819</v>
      </c>
      <c r="D14" s="18">
        <f t="shared" si="3"/>
        <v>9</v>
      </c>
      <c r="E14" s="22">
        <f t="shared" si="4"/>
        <v>8.4364640883977895</v>
      </c>
      <c r="F14" s="18">
        <f t="shared" si="6"/>
        <v>1.7500000000000002</v>
      </c>
      <c r="G14" s="23">
        <f t="shared" si="5"/>
        <v>1.5117298991069381</v>
      </c>
      <c r="H14" s="21">
        <f t="shared" si="0"/>
        <v>1.1576142014746293</v>
      </c>
      <c r="I14" s="19">
        <f t="shared" si="1"/>
        <v>79.610390403223334</v>
      </c>
      <c r="J14" s="23">
        <f t="shared" si="7"/>
        <v>120.34940745212876</v>
      </c>
    </row>
    <row r="15" spans="1:10" ht="15.6" x14ac:dyDescent="0.3">
      <c r="A15" s="3" t="s">
        <v>10</v>
      </c>
      <c r="B15" s="6">
        <f>COUPDAYBS(B6,B7,2,1)</f>
        <v>79</v>
      </c>
      <c r="D15" s="18">
        <f t="shared" si="3"/>
        <v>10</v>
      </c>
      <c r="E15" s="22">
        <f t="shared" si="4"/>
        <v>9.4364640883977895</v>
      </c>
      <c r="F15" s="18">
        <f>F14+B10</f>
        <v>101.75</v>
      </c>
      <c r="G15" s="23">
        <f>F15/H15</f>
        <v>86.384565663253596</v>
      </c>
      <c r="H15" s="21">
        <f t="shared" si="0"/>
        <v>1.1778724500004354</v>
      </c>
      <c r="I15" s="19">
        <f t="shared" si="1"/>
        <v>98.483318580018903</v>
      </c>
      <c r="J15" s="23">
        <f>G15*I15</f>
        <v>8507.4387006107663</v>
      </c>
    </row>
    <row r="16" spans="1:10" ht="15.6" x14ac:dyDescent="0.3">
      <c r="A16" s="3" t="s">
        <v>11</v>
      </c>
      <c r="B16" s="6">
        <f>COUPDAYS(B6,B7,2,1)</f>
        <v>181</v>
      </c>
      <c r="D16" s="18"/>
      <c r="E16" s="26"/>
      <c r="F16" s="26"/>
      <c r="G16" s="27">
        <f>SUM(G6:G15)</f>
        <v>100.98245276090596</v>
      </c>
      <c r="H16" s="26"/>
      <c r="I16" s="26"/>
      <c r="J16" s="28">
        <f>SUM(J6:J15)</f>
        <v>8940.2526477057472</v>
      </c>
    </row>
    <row r="17" spans="1:7" ht="15.6" x14ac:dyDescent="0.3">
      <c r="A17" s="3" t="s">
        <v>12</v>
      </c>
      <c r="B17" s="7">
        <f>((B8*B12)/2)*((B15)/(B16))</f>
        <v>0.76381215469613273</v>
      </c>
    </row>
    <row r="18" spans="1:7" ht="15.6" x14ac:dyDescent="0.3">
      <c r="A18" s="3" t="s">
        <v>13</v>
      </c>
      <c r="B18" s="7">
        <f>B14+B17</f>
        <v>100.48956331768395</v>
      </c>
      <c r="F18" t="s">
        <v>27</v>
      </c>
      <c r="G18" s="10">
        <f>J16/(G16*((1+C9)^2))</f>
        <v>85.461487934832235</v>
      </c>
    </row>
    <row r="19" spans="1:7" ht="15.6" x14ac:dyDescent="0.3">
      <c r="A19" s="3" t="s">
        <v>14</v>
      </c>
      <c r="B19" s="16">
        <f>DURATION(B6,B7,B8,B9,2,1)</f>
        <v>4.4125741209899427</v>
      </c>
      <c r="F19" s="17" t="s">
        <v>26</v>
      </c>
      <c r="G19" s="24">
        <f>G18/4</f>
        <v>21.365371983708059</v>
      </c>
    </row>
    <row r="20" spans="1:7" ht="15.6" x14ac:dyDescent="0.3">
      <c r="A20" s="3" t="s">
        <v>15</v>
      </c>
      <c r="B20" s="16">
        <f>MDURATION(B6,B7,B8,B9,2,1)</f>
        <v>4.3353613356028555</v>
      </c>
    </row>
    <row r="21" spans="1:7" ht="15.6" x14ac:dyDescent="0.3">
      <c r="B21" s="8"/>
    </row>
    <row r="22" spans="1:7" ht="15.6" x14ac:dyDescent="0.3">
      <c r="A22" s="3" t="s">
        <v>16</v>
      </c>
      <c r="B22" s="16">
        <f>YIELD(B6,B7,B8,0.95*B14,B10,2,1)*100</f>
        <v>4.7409994612211595</v>
      </c>
    </row>
    <row r="24" spans="1:7" ht="15.6" x14ac:dyDescent="0.3">
      <c r="B24" s="8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13DEA-1EC4-491F-B85A-88C4747AF199}">
  <dimension ref="A1:B6"/>
  <sheetViews>
    <sheetView workbookViewId="0">
      <selection activeCell="A7" sqref="A7"/>
    </sheetView>
  </sheetViews>
  <sheetFormatPr defaultRowHeight="14.4" x14ac:dyDescent="0.3"/>
  <cols>
    <col min="1" max="1" width="21.109375" customWidth="1"/>
    <col min="2" max="2" width="10.33203125" bestFit="1" customWidth="1"/>
  </cols>
  <sheetData>
    <row r="1" spans="1:2" x14ac:dyDescent="0.3">
      <c r="A1" t="s">
        <v>17</v>
      </c>
    </row>
    <row r="2" spans="1:2" x14ac:dyDescent="0.3">
      <c r="A2" t="s">
        <v>18</v>
      </c>
      <c r="B2" s="11">
        <f ca="1">TODAY()</f>
        <v>46065</v>
      </c>
    </row>
    <row r="3" spans="1:2" x14ac:dyDescent="0.3">
      <c r="A3" t="s">
        <v>3</v>
      </c>
      <c r="B3" s="11">
        <v>47817</v>
      </c>
    </row>
    <row r="4" spans="1:2" x14ac:dyDescent="0.3">
      <c r="A4" t="s">
        <v>19</v>
      </c>
      <c r="B4" s="12">
        <v>3.5000000000000003E-2</v>
      </c>
    </row>
    <row r="5" spans="1:2" x14ac:dyDescent="0.3">
      <c r="A5" t="s">
        <v>20</v>
      </c>
      <c r="B5" s="12">
        <v>3.5619999999999999E-2</v>
      </c>
    </row>
    <row r="6" spans="1:2" x14ac:dyDescent="0.3">
      <c r="A6" t="s">
        <v>21</v>
      </c>
      <c r="B6" s="13">
        <v>99.718294999999998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Template-BondValuation</vt:lpstr>
      <vt:lpstr>Snapshot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Sanjay Deshmukh</dc:creator>
  <cp:keywords/>
  <dc:description/>
  <cp:lastModifiedBy>Punit Alagappan Kasi</cp:lastModifiedBy>
  <cp:lastPrinted>2026-02-12T06:59:07Z</cp:lastPrinted>
  <dcterms:created xsi:type="dcterms:W3CDTF">2026-02-08T21:38:43Z</dcterms:created>
  <dcterms:modified xsi:type="dcterms:W3CDTF">2026-02-12T09:20:17Z</dcterms:modified>
  <cp:category/>
</cp:coreProperties>
</file>