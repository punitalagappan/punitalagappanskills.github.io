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23"/>
  <workbookPr/>
  <mc:AlternateContent xmlns:mc="http://schemas.openxmlformats.org/markup-compatibility/2006">
    <mc:Choice Requires="x15">
      <x15ac:absPath xmlns:x15ac="http://schemas.microsoft.com/office/spreadsheetml/2010/11/ac" url="C:\Users\aenik\Downloads\"/>
    </mc:Choice>
  </mc:AlternateContent>
  <xr:revisionPtr revIDLastSave="0" documentId="8_{1A6520DA-0502-4A61-ACF3-CE44B0B0E45D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1" sheetId="1" r:id="rId1"/>
    <sheet name="2" sheetId="2" r:id="rId2"/>
    <sheet name="3" sheetId="3" r:id="rId3"/>
  </sheets>
  <definedNames>
    <definedName name="solver_adj" localSheetId="1" hidden="1">'2'!$B$4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100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'2'!$B$14</definedName>
    <definedName name="solver_pre" localSheetId="1" hidden="1">0.000001</definedName>
    <definedName name="solver_rbv" localSheetId="1" hidden="1">1</definedName>
    <definedName name="solver_rlx" localSheetId="1" hidden="1">1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100</definedName>
    <definedName name="solver_tol" localSheetId="1" hidden="1">0.05</definedName>
    <definedName name="solver_typ" localSheetId="1" hidden="1">3</definedName>
    <definedName name="solver_val" localSheetId="1" hidden="1">3370.07</definedName>
    <definedName name="solver_ver" localSheetId="1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3" l="1"/>
  <c r="M8" i="3"/>
  <c r="M3" i="3"/>
  <c r="I9" i="3"/>
  <c r="I5" i="3"/>
  <c r="B14" i="2"/>
  <c r="K22" i="3"/>
  <c r="H20" i="3" s="1"/>
  <c r="E18" i="3" s="1"/>
  <c r="K10" i="3"/>
  <c r="K8" i="3"/>
  <c r="K5" i="3"/>
  <c r="K3" i="3"/>
  <c r="G9" i="3"/>
  <c r="G5" i="3"/>
  <c r="B14" i="3"/>
  <c r="B11" i="3"/>
  <c r="B18" i="1"/>
  <c r="B3" i="3"/>
  <c r="B2" i="3"/>
  <c r="B4" i="3"/>
  <c r="B15" i="3"/>
  <c r="B16" i="3" s="1"/>
  <c r="B12" i="3"/>
  <c r="B7" i="3"/>
  <c r="B8" i="3" s="1"/>
  <c r="B30" i="2"/>
  <c r="B31" i="2" s="1"/>
  <c r="B29" i="2"/>
  <c r="B27" i="2"/>
  <c r="B25" i="2"/>
  <c r="B24" i="2"/>
  <c r="J8" i="1"/>
  <c r="B9" i="2" l="1"/>
  <c r="B10" i="2"/>
  <c r="B11" i="2"/>
  <c r="B12" i="2"/>
  <c r="B15" i="1"/>
  <c r="G16" i="1"/>
  <c r="F16" i="1"/>
  <c r="E16" i="1"/>
  <c r="D16" i="1"/>
  <c r="C16" i="1"/>
  <c r="B16" i="1"/>
  <c r="D14" i="1"/>
  <c r="E14" i="1"/>
  <c r="F14" i="1"/>
  <c r="G14" i="1"/>
  <c r="C14" i="1"/>
  <c r="B14" i="1"/>
  <c r="B17" i="1" l="1"/>
</calcChain>
</file>

<file path=xl/sharedStrings.xml><?xml version="1.0" encoding="utf-8"?>
<sst xmlns="http://schemas.openxmlformats.org/spreadsheetml/2006/main" count="70" uniqueCount="66">
  <si>
    <t xml:space="preserve">Income Statement </t>
  </si>
  <si>
    <t xml:space="preserve">Year </t>
  </si>
  <si>
    <t xml:space="preserve">Net Sales </t>
  </si>
  <si>
    <t>COGS</t>
  </si>
  <si>
    <t>Risk-free rate</t>
  </si>
  <si>
    <t xml:space="preserve">Gross Profit </t>
  </si>
  <si>
    <t>Unlevered β</t>
  </si>
  <si>
    <t>SG&amp;A</t>
  </si>
  <si>
    <t>Market Premium</t>
  </si>
  <si>
    <t>R&amp;D</t>
  </si>
  <si>
    <t>Standard deviation</t>
  </si>
  <si>
    <t xml:space="preserve">EBIT </t>
  </si>
  <si>
    <t>Cost of equity</t>
  </si>
  <si>
    <t xml:space="preserve">Income Tax </t>
  </si>
  <si>
    <t xml:space="preserve">Net Earnings </t>
  </si>
  <si>
    <t>Depreciation</t>
  </si>
  <si>
    <t xml:space="preserve">Investment in Net Working Captial </t>
  </si>
  <si>
    <t>FCF</t>
  </si>
  <si>
    <t>WACC</t>
  </si>
  <si>
    <t>PV</t>
  </si>
  <si>
    <t>NPV</t>
  </si>
  <si>
    <t xml:space="preserve">Value of first generation phones </t>
  </si>
  <si>
    <t>Black Scholes Valuation</t>
  </si>
  <si>
    <t>Exercise Price (EX)</t>
  </si>
  <si>
    <t>Stock Price (P)</t>
  </si>
  <si>
    <t>Interest Rate  [rf] per period</t>
  </si>
  <si>
    <t>Time Until Expiration (t) in number of periods</t>
  </si>
  <si>
    <t>Volatility (σ) per period</t>
  </si>
  <si>
    <r>
      <t>d</t>
    </r>
    <r>
      <rPr>
        <b/>
        <vertAlign val="subscript"/>
        <sz val="12"/>
        <color theme="4" tint="0.79998168889431442"/>
        <rFont val="Times New Roman"/>
        <family val="1"/>
      </rPr>
      <t>1</t>
    </r>
  </si>
  <si>
    <r>
      <t>N(d</t>
    </r>
    <r>
      <rPr>
        <b/>
        <vertAlign val="subscript"/>
        <sz val="12"/>
        <color theme="4" tint="0.79998168889431442"/>
        <rFont val="Times New Roman"/>
        <family val="1"/>
      </rPr>
      <t>1</t>
    </r>
    <r>
      <rPr>
        <b/>
        <sz val="12"/>
        <color theme="4" tint="0.79998168889431442"/>
        <rFont val="Times New Roman"/>
        <family val="1"/>
      </rPr>
      <t>)</t>
    </r>
  </si>
  <si>
    <r>
      <t>d</t>
    </r>
    <r>
      <rPr>
        <b/>
        <vertAlign val="subscript"/>
        <sz val="12"/>
        <color theme="4" tint="0.79998168889431442"/>
        <rFont val="Times New Roman"/>
        <family val="1"/>
      </rPr>
      <t>2</t>
    </r>
  </si>
  <si>
    <r>
      <t>N(d</t>
    </r>
    <r>
      <rPr>
        <b/>
        <vertAlign val="subscript"/>
        <sz val="12"/>
        <color theme="4" tint="0.79998168889431442"/>
        <rFont val="Times New Roman"/>
        <family val="1"/>
      </rPr>
      <t>2</t>
    </r>
    <r>
      <rPr>
        <b/>
        <sz val="12"/>
        <color theme="4" tint="0.79998168889431442"/>
        <rFont val="Times New Roman"/>
        <family val="1"/>
      </rPr>
      <t>)</t>
    </r>
  </si>
  <si>
    <t>Black-Scholes Call Value</t>
  </si>
  <si>
    <t>NOTE</t>
  </si>
  <si>
    <t>Enter values for both 'rf' and 'σ' in decimals. For example, if σ = 35%, enter 0.35 in the cell.</t>
  </si>
  <si>
    <t>If option expires in six months, enter 't' = 0.5. If option expires in 18 months, enter 't' = 1.5.</t>
  </si>
  <si>
    <t>Second-generation</t>
  </si>
  <si>
    <t>Year</t>
  </si>
  <si>
    <t>Investment of Second-generation product</t>
  </si>
  <si>
    <t>Present Value of the investment (discounted at risk-free rate)</t>
  </si>
  <si>
    <t>Exercise Price</t>
  </si>
  <si>
    <t>Value of the Second-generation project as of 2001 (Stock Price)</t>
  </si>
  <si>
    <t>NPV of the Second-generation project</t>
  </si>
  <si>
    <t>NPV of First-generation phones ignoring the follow-on investment</t>
  </si>
  <si>
    <t>Value of the (Call) Option to make the follow-on investment</t>
  </si>
  <si>
    <t>APV</t>
  </si>
  <si>
    <t xml:space="preserve">Risk-free Rate </t>
  </si>
  <si>
    <t>Upside Change</t>
  </si>
  <si>
    <t>Build a binomial for the value of the project that extends for two years</t>
  </si>
  <si>
    <t>Downside Change</t>
  </si>
  <si>
    <t>(S)</t>
  </si>
  <si>
    <t>P, the risk-neutral probability of a risk in price</t>
  </si>
  <si>
    <t>P</t>
  </si>
  <si>
    <t>1-P</t>
  </si>
  <si>
    <t>Amounts in $thousands</t>
  </si>
  <si>
    <t>The value of first generation phones with no options attached (V)</t>
  </si>
  <si>
    <t>Salvage Value (X)</t>
  </si>
  <si>
    <t>NPV of First-generation</t>
  </si>
  <si>
    <t>Build the corresponding tree for the abandonment option (Put option). The exercise price, X = 4,000</t>
  </si>
  <si>
    <t>The value of the put option</t>
  </si>
  <si>
    <r>
      <rPr>
        <sz val="11"/>
        <color theme="4" tint="0.79998168889431442"/>
        <rFont val="Times New Roman"/>
        <family val="1"/>
      </rPr>
      <t xml:space="preserve">Option 4, S </t>
    </r>
    <r>
      <rPr>
        <sz val="10"/>
        <color theme="4" tint="0.79998168889431442"/>
        <rFont val="Times New Roman"/>
        <family val="1"/>
      </rPr>
      <t xml:space="preserve">＞ </t>
    </r>
    <r>
      <rPr>
        <sz val="11"/>
        <color theme="4" tint="0.79998168889431442"/>
        <rFont val="Times New Roman"/>
        <family val="1"/>
      </rPr>
      <t>X</t>
    </r>
  </si>
  <si>
    <t>Option 2</t>
  </si>
  <si>
    <r>
      <rPr>
        <sz val="11"/>
        <color theme="4" tint="0.79998168889431442"/>
        <rFont val="Times New Roman"/>
        <family val="1"/>
      </rPr>
      <t xml:space="preserve">Option 5, S </t>
    </r>
    <r>
      <rPr>
        <sz val="10"/>
        <color theme="4" tint="0.79998168889431442"/>
        <rFont val="Times New Roman"/>
        <family val="1"/>
      </rPr>
      <t xml:space="preserve">＞ </t>
    </r>
    <r>
      <rPr>
        <sz val="11"/>
        <color theme="4" tint="0.79998168889431442"/>
        <rFont val="Times New Roman"/>
        <family val="1"/>
      </rPr>
      <t>X</t>
    </r>
  </si>
  <si>
    <t>Option 1</t>
  </si>
  <si>
    <t>Option 3</t>
  </si>
  <si>
    <r>
      <rPr>
        <sz val="11"/>
        <color theme="4" tint="0.79998168889431442"/>
        <rFont val="Times New Roman"/>
        <family val="1"/>
      </rPr>
      <t xml:space="preserve">Option 6, S </t>
    </r>
    <r>
      <rPr>
        <sz val="10"/>
        <color theme="4" tint="0.79998168889431442"/>
        <rFont val="Times New Roman"/>
        <family val="1"/>
      </rPr>
      <t xml:space="preserve">＜ </t>
    </r>
    <r>
      <rPr>
        <sz val="11"/>
        <color theme="4" tint="0.79998168889431442"/>
        <rFont val="Times New Roman"/>
        <family val="1"/>
      </rPr>
      <t>X, = X - 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</si>
</sst>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[$$-409]* #,##0.00_ ;_-[$$-409]* \-#,##0.00\ ;_-[$$-409]* &quot;-&quot;??_ ;_-@_ "/>
    <numFmt numFmtId="165" formatCode="0.0%"/>
    <numFmt numFmtId="166" formatCode="0.0000"/>
    <numFmt numFmtId="167" formatCode="&quot;$&quot;#,##0.0000"/>
    <numFmt numFmtId="168" formatCode="&quot;$&quot;#,##0.00"/>
    <numFmt numFmtId="169" formatCode="\$#,##0.00_);[Red]\(\$#,##0.00\)"/>
    <numFmt numFmtId="170" formatCode="0.0000_);[Red]\(0.0000\)"/>
    <numFmt numFmtId="171" formatCode="0.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charset val="134"/>
    </font>
    <font>
      <sz val="12"/>
      <name val="Times New Roman"/>
      <family val="1"/>
    </font>
    <font>
      <sz val="11"/>
      <color theme="1"/>
      <name val="Times New Roman"/>
      <family val="1"/>
    </font>
    <font>
      <sz val="12"/>
      <color theme="4" tint="0.79998168889431442"/>
      <name val="Times New Roman"/>
      <family val="1"/>
    </font>
    <font>
      <sz val="11"/>
      <color theme="4" tint="0.79998168889431442"/>
      <name val="Times New Roman"/>
      <family val="1"/>
    </font>
    <font>
      <sz val="10"/>
      <color theme="4" tint="0.79998168889431442"/>
      <name val="Times New Roman"/>
      <family val="1"/>
    </font>
    <font>
      <b/>
      <sz val="12"/>
      <color theme="4" tint="0.79998168889431442"/>
      <name val="Times New Roman"/>
      <family val="1"/>
    </font>
    <font>
      <i/>
      <sz val="12"/>
      <color theme="4" tint="0.79998168889431442"/>
      <name val="Times New Roman"/>
      <family val="1"/>
    </font>
    <font>
      <b/>
      <u/>
      <sz val="12"/>
      <color theme="4" tint="0.79998168889431442"/>
      <name val="Times New Roman"/>
      <family val="1"/>
    </font>
    <font>
      <b/>
      <vertAlign val="subscript"/>
      <sz val="12"/>
      <color theme="4" tint="0.7999816888943144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9" fontId="3" fillId="0" borderId="0" applyFont="0" applyFill="0" applyBorder="0" applyAlignment="0" applyProtection="0">
      <alignment vertical="center"/>
    </xf>
  </cellStyleXfs>
  <cellXfs count="60">
    <xf numFmtId="0" fontId="0" fillId="0" borderId="0" xfId="0"/>
    <xf numFmtId="164" fontId="0" fillId="0" borderId="0" xfId="0" applyNumberFormat="1"/>
    <xf numFmtId="0" fontId="2" fillId="0" borderId="0" xfId="2"/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10" fontId="7" fillId="2" borderId="3" xfId="0" applyNumberFormat="1" applyFont="1" applyFill="1" applyBorder="1" applyAlignment="1">
      <alignment horizontal="center"/>
    </xf>
    <xf numFmtId="169" fontId="7" fillId="2" borderId="3" xfId="0" applyNumberFormat="1" applyFont="1" applyFill="1" applyBorder="1" applyAlignment="1">
      <alignment horizontal="center"/>
    </xf>
    <xf numFmtId="0" fontId="8" fillId="2" borderId="7" xfId="0" applyFont="1" applyFill="1" applyBorder="1"/>
    <xf numFmtId="0" fontId="7" fillId="2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7" fillId="2" borderId="8" xfId="0" applyFont="1" applyFill="1" applyBorder="1"/>
    <xf numFmtId="10" fontId="7" fillId="2" borderId="0" xfId="0" applyNumberFormat="1" applyFont="1" applyFill="1" applyAlignment="1">
      <alignment horizontal="center"/>
    </xf>
    <xf numFmtId="169" fontId="7" fillId="2" borderId="0" xfId="0" applyNumberFormat="1" applyFont="1" applyFill="1" applyAlignment="1">
      <alignment horizontal="center"/>
    </xf>
    <xf numFmtId="169" fontId="8" fillId="2" borderId="4" xfId="0" applyNumberFormat="1" applyFont="1" applyFill="1" applyBorder="1" applyAlignment="1">
      <alignment horizontal="center"/>
    </xf>
    <xf numFmtId="0" fontId="8" fillId="2" borderId="8" xfId="0" applyFont="1" applyFill="1" applyBorder="1"/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169" fontId="7" fillId="2" borderId="6" xfId="0" applyNumberFormat="1" applyFont="1" applyFill="1" applyBorder="1" applyAlignment="1">
      <alignment horizontal="center"/>
    </xf>
    <xf numFmtId="0" fontId="8" fillId="2" borderId="9" xfId="0" applyFont="1" applyFill="1" applyBorder="1"/>
    <xf numFmtId="0" fontId="8" fillId="2" borderId="3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4" xfId="0" applyFont="1" applyFill="1" applyBorder="1" applyAlignment="1">
      <alignment horizontal="center"/>
    </xf>
    <xf numFmtId="169" fontId="8" fillId="2" borderId="0" xfId="0" applyNumberFormat="1" applyFont="1" applyFill="1" applyAlignment="1">
      <alignment horizontal="center"/>
    </xf>
    <xf numFmtId="0" fontId="8" fillId="2" borderId="6" xfId="0" applyFont="1" applyFill="1" applyBorder="1" applyAlignment="1">
      <alignment horizontal="left"/>
    </xf>
    <xf numFmtId="0" fontId="7" fillId="2" borderId="1" xfId="0" applyFont="1" applyFill="1" applyBorder="1"/>
    <xf numFmtId="0" fontId="9" fillId="2" borderId="1" xfId="0" applyFont="1" applyFill="1" applyBorder="1"/>
    <xf numFmtId="164" fontId="6" fillId="2" borderId="1" xfId="0" applyNumberFormat="1" applyFont="1" applyFill="1" applyBorder="1"/>
    <xf numFmtId="164" fontId="10" fillId="2" borderId="1" xfId="0" applyNumberFormat="1" applyFont="1" applyFill="1" applyBorder="1"/>
    <xf numFmtId="0" fontId="6" fillId="2" borderId="1" xfId="0" applyFont="1" applyFill="1" applyBorder="1"/>
    <xf numFmtId="165" fontId="6" fillId="2" borderId="1" xfId="1" applyNumberFormat="1" applyFont="1" applyFill="1" applyBorder="1"/>
    <xf numFmtId="2" fontId="7" fillId="2" borderId="1" xfId="0" applyNumberFormat="1" applyFont="1" applyFill="1" applyBorder="1"/>
    <xf numFmtId="0" fontId="11" fillId="2" borderId="1" xfId="2" applyFont="1" applyFill="1" applyBorder="1"/>
    <xf numFmtId="0" fontId="6" fillId="2" borderId="1" xfId="2" applyFont="1" applyFill="1" applyBorder="1"/>
    <xf numFmtId="0" fontId="4" fillId="0" borderId="0" xfId="2" applyFont="1"/>
    <xf numFmtId="0" fontId="9" fillId="2" borderId="1" xfId="2" applyFont="1" applyFill="1" applyBorder="1"/>
    <xf numFmtId="168" fontId="6" fillId="2" borderId="1" xfId="2" applyNumberFormat="1" applyFont="1" applyFill="1" applyBorder="1"/>
    <xf numFmtId="165" fontId="6" fillId="2" borderId="1" xfId="2" applyNumberFormat="1" applyFont="1" applyFill="1" applyBorder="1"/>
    <xf numFmtId="166" fontId="6" fillId="2" borderId="1" xfId="2" applyNumberFormat="1" applyFont="1" applyFill="1" applyBorder="1"/>
    <xf numFmtId="166" fontId="4" fillId="0" borderId="0" xfId="2" applyNumberFormat="1" applyFont="1"/>
    <xf numFmtId="167" fontId="6" fillId="2" borderId="1" xfId="2" applyNumberFormat="1" applyFont="1" applyFill="1" applyBorder="1"/>
    <xf numFmtId="0" fontId="13" fillId="0" borderId="0" xfId="2" applyFont="1"/>
    <xf numFmtId="167" fontId="4" fillId="0" borderId="0" xfId="2" applyNumberFormat="1" applyFont="1"/>
    <xf numFmtId="0" fontId="14" fillId="0" borderId="0" xfId="2" applyFont="1"/>
    <xf numFmtId="166" fontId="13" fillId="0" borderId="0" xfId="2" applyNumberFormat="1" applyFont="1" applyAlignment="1">
      <alignment horizontal="center"/>
    </xf>
    <xf numFmtId="0" fontId="9" fillId="2" borderId="1" xfId="3" applyFont="1" applyFill="1" applyBorder="1"/>
    <xf numFmtId="0" fontId="6" fillId="2" borderId="1" xfId="3" applyFont="1" applyFill="1" applyBorder="1"/>
    <xf numFmtId="3" fontId="6" fillId="2" borderId="1" xfId="2" applyNumberFormat="1" applyFont="1" applyFill="1" applyBorder="1"/>
    <xf numFmtId="171" fontId="6" fillId="2" borderId="1" xfId="2" applyNumberFormat="1" applyFont="1" applyFill="1" applyBorder="1"/>
    <xf numFmtId="9" fontId="6" fillId="2" borderId="1" xfId="0" applyNumberFormat="1" applyFont="1" applyFill="1" applyBorder="1"/>
    <xf numFmtId="10" fontId="6" fillId="2" borderId="1" xfId="1" applyNumberFormat="1" applyFont="1" applyFill="1" applyBorder="1" applyAlignment="1"/>
    <xf numFmtId="10" fontId="6" fillId="2" borderId="1" xfId="0" applyNumberFormat="1" applyFont="1" applyFill="1" applyBorder="1"/>
    <xf numFmtId="170" fontId="7" fillId="2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top" wrapText="1"/>
    </xf>
    <xf numFmtId="169" fontId="6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</cellXfs>
  <cellStyles count="5">
    <cellStyle name="Normal" xfId="0" builtinId="0"/>
    <cellStyle name="Normal 2" xfId="2" xr:uid="{DBFA5C2C-7B94-4A01-84B1-17A2D446F5E8}"/>
    <cellStyle name="Normal 3" xfId="3" xr:uid="{B4E99004-089E-4811-B30C-3F863949C685}"/>
    <cellStyle name="Percent" xfId="1" builtinId="5"/>
    <cellStyle name="Percent 2" xfId="4" xr:uid="{25A7DFD0-8F65-4AEB-BB80-03211FD58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4</xdr:row>
      <xdr:rowOff>28576</xdr:rowOff>
    </xdr:from>
    <xdr:to>
      <xdr:col>8</xdr:col>
      <xdr:colOff>0</xdr:colOff>
      <xdr:row>6</xdr:row>
      <xdr:rowOff>85725</xdr:rowOff>
    </xdr:to>
    <xdr:cxnSp macro="">
      <xdr:nvCxnSpPr>
        <xdr:cNvPr id="2" name="直接箭头连接符 2">
          <a:extLst>
            <a:ext uri="{FF2B5EF4-FFF2-40B4-BE49-F238E27FC236}">
              <a16:creationId xmlns:a16="http://schemas.microsoft.com/office/drawing/2014/main" id="{D0C54FC9-2799-41EC-8A43-D2E3F9FB1E2F}"/>
            </a:ext>
          </a:extLst>
        </xdr:cNvPr>
        <xdr:cNvCxnSpPr/>
      </xdr:nvCxnSpPr>
      <xdr:spPr>
        <a:xfrm flipV="1">
          <a:off x="5181600" y="619126"/>
          <a:ext cx="1866900" cy="4127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</xdr:row>
      <xdr:rowOff>104775</xdr:rowOff>
    </xdr:from>
    <xdr:to>
      <xdr:col>8</xdr:col>
      <xdr:colOff>38100</xdr:colOff>
      <xdr:row>8</xdr:row>
      <xdr:rowOff>123825</xdr:rowOff>
    </xdr:to>
    <xdr:cxnSp macro="">
      <xdr:nvCxnSpPr>
        <xdr:cNvPr id="3" name="直接箭头连接符 4">
          <a:extLst>
            <a:ext uri="{FF2B5EF4-FFF2-40B4-BE49-F238E27FC236}">
              <a16:creationId xmlns:a16="http://schemas.microsoft.com/office/drawing/2014/main" id="{0FAEB675-4F64-41D3-9865-98CE3FB6DFA5}"/>
            </a:ext>
          </a:extLst>
        </xdr:cNvPr>
        <xdr:cNvCxnSpPr/>
      </xdr:nvCxnSpPr>
      <xdr:spPr>
        <a:xfrm>
          <a:off x="5162550" y="1050925"/>
          <a:ext cx="1924050" cy="412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</xdr:row>
      <xdr:rowOff>38100</xdr:rowOff>
    </xdr:from>
    <xdr:to>
      <xdr:col>12</xdr:col>
      <xdr:colOff>9525</xdr:colOff>
      <xdr:row>4</xdr:row>
      <xdr:rowOff>85725</xdr:rowOff>
    </xdr:to>
    <xdr:cxnSp macro="">
      <xdr:nvCxnSpPr>
        <xdr:cNvPr id="4" name="直接箭头连接符 6">
          <a:extLst>
            <a:ext uri="{FF2B5EF4-FFF2-40B4-BE49-F238E27FC236}">
              <a16:creationId xmlns:a16="http://schemas.microsoft.com/office/drawing/2014/main" id="{AB71EC96-D667-405F-A09F-01D31FB6ACC2}"/>
            </a:ext>
          </a:extLst>
        </xdr:cNvPr>
        <xdr:cNvCxnSpPr/>
      </xdr:nvCxnSpPr>
      <xdr:spPr>
        <a:xfrm flipV="1">
          <a:off x="7854950" y="234950"/>
          <a:ext cx="2886075" cy="441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742950</xdr:colOff>
      <xdr:row>4</xdr:row>
      <xdr:rowOff>104775</xdr:rowOff>
    </xdr:from>
    <xdr:to>
      <xdr:col>12</xdr:col>
      <xdr:colOff>28575</xdr:colOff>
      <xdr:row>7</xdr:row>
      <xdr:rowOff>114300</xdr:rowOff>
    </xdr:to>
    <xdr:cxnSp macro="">
      <xdr:nvCxnSpPr>
        <xdr:cNvPr id="5" name="直接箭头连接符 8">
          <a:extLst>
            <a:ext uri="{FF2B5EF4-FFF2-40B4-BE49-F238E27FC236}">
              <a16:creationId xmlns:a16="http://schemas.microsoft.com/office/drawing/2014/main" id="{898C6499-EC0E-4B16-9FA3-FAC9E7BE799D}"/>
            </a:ext>
          </a:extLst>
        </xdr:cNvPr>
        <xdr:cNvCxnSpPr/>
      </xdr:nvCxnSpPr>
      <xdr:spPr>
        <a:xfrm>
          <a:off x="7791450" y="695325"/>
          <a:ext cx="2968625" cy="561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7</xdr:row>
      <xdr:rowOff>133350</xdr:rowOff>
    </xdr:from>
    <xdr:to>
      <xdr:col>12</xdr:col>
      <xdr:colOff>28575</xdr:colOff>
      <xdr:row>8</xdr:row>
      <xdr:rowOff>104775</xdr:rowOff>
    </xdr:to>
    <xdr:cxnSp macro="">
      <xdr:nvCxnSpPr>
        <xdr:cNvPr id="6" name="直接箭头连接符 10">
          <a:extLst>
            <a:ext uri="{FF2B5EF4-FFF2-40B4-BE49-F238E27FC236}">
              <a16:creationId xmlns:a16="http://schemas.microsoft.com/office/drawing/2014/main" id="{D15B8804-FECB-4EAB-AE91-374AF4D800EC}"/>
            </a:ext>
          </a:extLst>
        </xdr:cNvPr>
        <xdr:cNvCxnSpPr/>
      </xdr:nvCxnSpPr>
      <xdr:spPr>
        <a:xfrm flipV="1">
          <a:off x="7854950" y="1276350"/>
          <a:ext cx="2905125" cy="168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8</xdr:row>
      <xdr:rowOff>123825</xdr:rowOff>
    </xdr:from>
    <xdr:to>
      <xdr:col>12</xdr:col>
      <xdr:colOff>19050</xdr:colOff>
      <xdr:row>11</xdr:row>
      <xdr:rowOff>19050</xdr:rowOff>
    </xdr:to>
    <xdr:cxnSp macro="">
      <xdr:nvCxnSpPr>
        <xdr:cNvPr id="7" name="直接箭头连接符 18">
          <a:extLst>
            <a:ext uri="{FF2B5EF4-FFF2-40B4-BE49-F238E27FC236}">
              <a16:creationId xmlns:a16="http://schemas.microsoft.com/office/drawing/2014/main" id="{9A765A9E-BCDD-4F3C-B2AE-E6676442EFAD}"/>
            </a:ext>
          </a:extLst>
        </xdr:cNvPr>
        <xdr:cNvCxnSpPr/>
      </xdr:nvCxnSpPr>
      <xdr:spPr>
        <a:xfrm>
          <a:off x="7854950" y="1463675"/>
          <a:ext cx="2895600" cy="581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15</xdr:row>
      <xdr:rowOff>28575</xdr:rowOff>
    </xdr:from>
    <xdr:to>
      <xdr:col>7</xdr:col>
      <xdr:colOff>0</xdr:colOff>
      <xdr:row>17</xdr:row>
      <xdr:rowOff>95250</xdr:rowOff>
    </xdr:to>
    <xdr:cxnSp macro="">
      <xdr:nvCxnSpPr>
        <xdr:cNvPr id="8" name="直接箭头连接符 20">
          <a:extLst>
            <a:ext uri="{FF2B5EF4-FFF2-40B4-BE49-F238E27FC236}">
              <a16:creationId xmlns:a16="http://schemas.microsoft.com/office/drawing/2014/main" id="{95B9CBC7-1452-4818-844B-7E199DC59AA6}"/>
            </a:ext>
          </a:extLst>
        </xdr:cNvPr>
        <xdr:cNvCxnSpPr/>
      </xdr:nvCxnSpPr>
      <xdr:spPr>
        <a:xfrm flipV="1">
          <a:off x="5172075" y="3235325"/>
          <a:ext cx="1247775" cy="460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17</xdr:row>
      <xdr:rowOff>114300</xdr:rowOff>
    </xdr:from>
    <xdr:to>
      <xdr:col>7</xdr:col>
      <xdr:colOff>9525</xdr:colOff>
      <xdr:row>19</xdr:row>
      <xdr:rowOff>142875</xdr:rowOff>
    </xdr:to>
    <xdr:cxnSp macro="">
      <xdr:nvCxnSpPr>
        <xdr:cNvPr id="9" name="直接箭头连接符 22">
          <a:extLst>
            <a:ext uri="{FF2B5EF4-FFF2-40B4-BE49-F238E27FC236}">
              <a16:creationId xmlns:a16="http://schemas.microsoft.com/office/drawing/2014/main" id="{1EBBA151-13B1-4493-987E-DB5327B10A0D}"/>
            </a:ext>
          </a:extLst>
        </xdr:cNvPr>
        <xdr:cNvCxnSpPr/>
      </xdr:nvCxnSpPr>
      <xdr:spPr>
        <a:xfrm>
          <a:off x="5162550" y="3714750"/>
          <a:ext cx="1266825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14</xdr:row>
      <xdr:rowOff>28575</xdr:rowOff>
    </xdr:from>
    <xdr:to>
      <xdr:col>10</xdr:col>
      <xdr:colOff>9525</xdr:colOff>
      <xdr:row>15</xdr:row>
      <xdr:rowOff>76200</xdr:rowOff>
    </xdr:to>
    <xdr:cxnSp macro="">
      <xdr:nvCxnSpPr>
        <xdr:cNvPr id="10" name="直接箭头连接符 24">
          <a:extLst>
            <a:ext uri="{FF2B5EF4-FFF2-40B4-BE49-F238E27FC236}">
              <a16:creationId xmlns:a16="http://schemas.microsoft.com/office/drawing/2014/main" id="{9443669E-11F0-4ADD-AB9A-5188939EF8C6}"/>
            </a:ext>
          </a:extLst>
        </xdr:cNvPr>
        <xdr:cNvCxnSpPr/>
      </xdr:nvCxnSpPr>
      <xdr:spPr>
        <a:xfrm flipV="1">
          <a:off x="7058025" y="3038475"/>
          <a:ext cx="1435100" cy="244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15</xdr:row>
      <xdr:rowOff>76200</xdr:rowOff>
    </xdr:from>
    <xdr:to>
      <xdr:col>10</xdr:col>
      <xdr:colOff>38100</xdr:colOff>
      <xdr:row>17</xdr:row>
      <xdr:rowOff>85725</xdr:rowOff>
    </xdr:to>
    <xdr:cxnSp macro="">
      <xdr:nvCxnSpPr>
        <xdr:cNvPr id="11" name="直接箭头连接符 26">
          <a:extLst>
            <a:ext uri="{FF2B5EF4-FFF2-40B4-BE49-F238E27FC236}">
              <a16:creationId xmlns:a16="http://schemas.microsoft.com/office/drawing/2014/main" id="{5636BCD7-BA6C-4DFC-B593-28076AF136FC}"/>
            </a:ext>
          </a:extLst>
        </xdr:cNvPr>
        <xdr:cNvCxnSpPr/>
      </xdr:nvCxnSpPr>
      <xdr:spPr>
        <a:xfrm>
          <a:off x="7058025" y="3282950"/>
          <a:ext cx="1463675" cy="403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17</xdr:row>
      <xdr:rowOff>95250</xdr:rowOff>
    </xdr:from>
    <xdr:to>
      <xdr:col>10</xdr:col>
      <xdr:colOff>19050</xdr:colOff>
      <xdr:row>19</xdr:row>
      <xdr:rowOff>66675</xdr:rowOff>
    </xdr:to>
    <xdr:cxnSp macro="">
      <xdr:nvCxnSpPr>
        <xdr:cNvPr id="12" name="直接箭头连接符 28">
          <a:extLst>
            <a:ext uri="{FF2B5EF4-FFF2-40B4-BE49-F238E27FC236}">
              <a16:creationId xmlns:a16="http://schemas.microsoft.com/office/drawing/2014/main" id="{A4E5857A-D6F4-47D8-91D2-6F4803B42EDB}"/>
            </a:ext>
          </a:extLst>
        </xdr:cNvPr>
        <xdr:cNvCxnSpPr/>
      </xdr:nvCxnSpPr>
      <xdr:spPr>
        <a:xfrm flipV="1">
          <a:off x="7048500" y="3695700"/>
          <a:ext cx="1454150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19</xdr:row>
      <xdr:rowOff>85725</xdr:rowOff>
    </xdr:from>
    <xdr:to>
      <xdr:col>10</xdr:col>
      <xdr:colOff>38100</xdr:colOff>
      <xdr:row>21</xdr:row>
      <xdr:rowOff>85725</xdr:rowOff>
    </xdr:to>
    <xdr:cxnSp macro="">
      <xdr:nvCxnSpPr>
        <xdr:cNvPr id="13" name="直接箭头连接符 30">
          <a:extLst>
            <a:ext uri="{FF2B5EF4-FFF2-40B4-BE49-F238E27FC236}">
              <a16:creationId xmlns:a16="http://schemas.microsoft.com/office/drawing/2014/main" id="{9C2903B2-2DE6-411D-A2C5-E98879B152EF}"/>
            </a:ext>
          </a:extLst>
        </xdr:cNvPr>
        <xdr:cNvCxnSpPr/>
      </xdr:nvCxnSpPr>
      <xdr:spPr>
        <a:xfrm>
          <a:off x="7058025" y="4010025"/>
          <a:ext cx="1463675" cy="317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selection activeCell="B17" sqref="B17"/>
    </sheetView>
  </sheetViews>
  <sheetFormatPr defaultRowHeight="14.45"/>
  <cols>
    <col min="1" max="1" width="28.85546875" customWidth="1"/>
    <col min="2" max="2" width="12.5703125" style="1" bestFit="1" customWidth="1"/>
    <col min="3" max="3" width="11.5703125" style="1" bestFit="1" customWidth="1"/>
    <col min="4" max="6" width="12.5703125" style="1" bestFit="1" customWidth="1"/>
    <col min="7" max="7" width="12.28515625" style="1" bestFit="1" customWidth="1"/>
    <col min="9" max="9" width="18.28515625" customWidth="1"/>
  </cols>
  <sheetData>
    <row r="1" spans="1:10" ht="15.6">
      <c r="A1" s="29" t="s">
        <v>0</v>
      </c>
      <c r="B1" s="30"/>
      <c r="C1" s="30"/>
      <c r="D1" s="30"/>
      <c r="E1" s="30"/>
      <c r="F1" s="30"/>
      <c r="G1" s="30"/>
    </row>
    <row r="2" spans="1:10" ht="15.6">
      <c r="A2" s="29" t="s">
        <v>1</v>
      </c>
      <c r="B2" s="29">
        <v>2001</v>
      </c>
      <c r="C2" s="29">
        <v>2002</v>
      </c>
      <c r="D2" s="29">
        <v>2003</v>
      </c>
      <c r="E2" s="29">
        <v>2004</v>
      </c>
      <c r="F2" s="29">
        <v>2005</v>
      </c>
      <c r="G2" s="29">
        <v>2006</v>
      </c>
    </row>
    <row r="3" spans="1:10" ht="15.6">
      <c r="A3" s="29" t="s">
        <v>2</v>
      </c>
      <c r="B3" s="31">
        <v>0</v>
      </c>
      <c r="C3" s="31">
        <v>8600</v>
      </c>
      <c r="D3" s="31">
        <v>14000</v>
      </c>
      <c r="E3" s="31">
        <v>18000</v>
      </c>
      <c r="F3" s="31">
        <v>14500</v>
      </c>
      <c r="G3" s="31">
        <v>8000</v>
      </c>
    </row>
    <row r="4" spans="1:10" ht="15.6">
      <c r="A4" s="29" t="s">
        <v>3</v>
      </c>
      <c r="B4" s="31">
        <v>0</v>
      </c>
      <c r="C4" s="31">
        <v>3500</v>
      </c>
      <c r="D4" s="31">
        <v>5300</v>
      </c>
      <c r="E4" s="31">
        <v>7100</v>
      </c>
      <c r="F4" s="31">
        <v>6500</v>
      </c>
      <c r="G4" s="31">
        <v>3200</v>
      </c>
      <c r="I4" s="32" t="s">
        <v>4</v>
      </c>
      <c r="J4" s="34">
        <v>0.1</v>
      </c>
    </row>
    <row r="5" spans="1:10" ht="15.6">
      <c r="A5" s="29" t="s">
        <v>5</v>
      </c>
      <c r="B5" s="31">
        <v>0</v>
      </c>
      <c r="C5" s="31">
        <v>5100</v>
      </c>
      <c r="D5" s="31">
        <v>8700</v>
      </c>
      <c r="E5" s="31">
        <v>10900</v>
      </c>
      <c r="F5" s="31">
        <v>8000</v>
      </c>
      <c r="G5" s="31">
        <v>4800</v>
      </c>
      <c r="I5" s="32" t="s">
        <v>6</v>
      </c>
      <c r="J5" s="34">
        <v>1.2</v>
      </c>
    </row>
    <row r="6" spans="1:10" ht="15.6">
      <c r="A6" s="29" t="s">
        <v>7</v>
      </c>
      <c r="B6" s="31">
        <v>1900</v>
      </c>
      <c r="C6" s="31">
        <v>2300</v>
      </c>
      <c r="D6" s="31">
        <v>3000</v>
      </c>
      <c r="E6" s="31">
        <v>3700</v>
      </c>
      <c r="F6" s="31">
        <v>4200</v>
      </c>
      <c r="G6" s="31">
        <v>4000</v>
      </c>
      <c r="I6" s="32" t="s">
        <v>8</v>
      </c>
      <c r="J6" s="34">
        <v>0.04</v>
      </c>
    </row>
    <row r="7" spans="1:10" ht="15.6">
      <c r="A7" s="29" t="s">
        <v>9</v>
      </c>
      <c r="B7" s="31">
        <v>2100</v>
      </c>
      <c r="C7" s="31">
        <v>2800</v>
      </c>
      <c r="D7" s="31">
        <v>3000</v>
      </c>
      <c r="E7" s="31">
        <v>3500</v>
      </c>
      <c r="F7" s="31">
        <v>3900</v>
      </c>
      <c r="G7" s="31">
        <v>2000</v>
      </c>
      <c r="I7" s="32" t="s">
        <v>10</v>
      </c>
      <c r="J7" s="34">
        <v>0.5</v>
      </c>
    </row>
    <row r="8" spans="1:10" ht="15.6">
      <c r="A8" s="29" t="s">
        <v>11</v>
      </c>
      <c r="B8" s="31">
        <v>-4000</v>
      </c>
      <c r="C8" s="31">
        <v>0</v>
      </c>
      <c r="D8" s="31">
        <v>2700</v>
      </c>
      <c r="E8" s="31">
        <v>3700</v>
      </c>
      <c r="F8" s="31">
        <v>-100</v>
      </c>
      <c r="G8" s="31">
        <v>-1200</v>
      </c>
      <c r="I8" s="32" t="s">
        <v>12</v>
      </c>
      <c r="J8" s="28">
        <f>J4+J5*J6</f>
        <v>0.14800000000000002</v>
      </c>
    </row>
    <row r="9" spans="1:10" ht="15.6">
      <c r="A9" s="29" t="s">
        <v>13</v>
      </c>
      <c r="B9" s="31">
        <v>0</v>
      </c>
      <c r="C9" s="31">
        <v>0</v>
      </c>
      <c r="D9" s="31">
        <v>295</v>
      </c>
      <c r="E9" s="31">
        <v>1415</v>
      </c>
      <c r="F9" s="31">
        <v>-35</v>
      </c>
      <c r="G9" s="31">
        <v>-300</v>
      </c>
    </row>
    <row r="10" spans="1:10" ht="15.6">
      <c r="A10" s="29" t="s">
        <v>14</v>
      </c>
      <c r="B10" s="31">
        <v>0</v>
      </c>
      <c r="C10" s="31">
        <v>0</v>
      </c>
      <c r="D10" s="31">
        <v>2405</v>
      </c>
      <c r="E10" s="31">
        <v>2285</v>
      </c>
      <c r="F10" s="31">
        <v>-65</v>
      </c>
      <c r="G10" s="31">
        <v>-900</v>
      </c>
    </row>
    <row r="11" spans="1:10" ht="15.6">
      <c r="A11" s="29" t="s">
        <v>15</v>
      </c>
      <c r="B11" s="31">
        <v>900</v>
      </c>
      <c r="C11" s="31">
        <v>900</v>
      </c>
      <c r="D11" s="31">
        <v>900</v>
      </c>
      <c r="E11" s="31">
        <v>900</v>
      </c>
      <c r="F11" s="31">
        <v>900</v>
      </c>
      <c r="G11" s="31">
        <v>900</v>
      </c>
    </row>
    <row r="12" spans="1:10" ht="15.6">
      <c r="A12" s="29" t="s">
        <v>16</v>
      </c>
      <c r="B12" s="31">
        <v>1500</v>
      </c>
      <c r="C12" s="31">
        <v>0</v>
      </c>
      <c r="D12" s="31">
        <v>0</v>
      </c>
      <c r="E12" s="31">
        <v>0</v>
      </c>
      <c r="F12" s="31">
        <v>0</v>
      </c>
      <c r="G12" s="31">
        <v>-1500</v>
      </c>
    </row>
    <row r="13" spans="1:10" ht="15.6">
      <c r="A13" s="32"/>
      <c r="B13" s="30"/>
      <c r="C13" s="30"/>
      <c r="D13" s="30"/>
      <c r="E13" s="30"/>
      <c r="F13" s="30"/>
      <c r="G13" s="30"/>
    </row>
    <row r="14" spans="1:10" ht="15.6">
      <c r="A14" s="29" t="s">
        <v>17</v>
      </c>
      <c r="B14" s="30">
        <f>B8-B9+B11-B12-5400</f>
        <v>-10000</v>
      </c>
      <c r="C14" s="30">
        <f>C8-C9+C11-C12</f>
        <v>900</v>
      </c>
      <c r="D14" s="30">
        <f t="shared" ref="D14:G14" si="0">D8-D9+D11-D12</f>
        <v>3305</v>
      </c>
      <c r="E14" s="30">
        <f t="shared" si="0"/>
        <v>3185</v>
      </c>
      <c r="F14" s="30">
        <f t="shared" si="0"/>
        <v>835</v>
      </c>
      <c r="G14" s="30">
        <f t="shared" si="0"/>
        <v>1500</v>
      </c>
    </row>
    <row r="15" spans="1:10" ht="15.6">
      <c r="A15" s="29" t="s">
        <v>18</v>
      </c>
      <c r="B15" s="33">
        <f>14.8%</f>
        <v>0.14800000000000002</v>
      </c>
      <c r="C15" s="30"/>
      <c r="D15" s="30"/>
      <c r="E15" s="30"/>
      <c r="F15" s="30"/>
      <c r="G15" s="30"/>
    </row>
    <row r="16" spans="1:10" ht="15.6">
      <c r="A16" s="29" t="s">
        <v>19</v>
      </c>
      <c r="B16" s="30">
        <f>B14/(1+B15)^0</f>
        <v>-10000</v>
      </c>
      <c r="C16" s="30">
        <f>C14/((1+B15)^1)</f>
        <v>783.97212543553997</v>
      </c>
      <c r="D16" s="30">
        <f>D14/((1+B15)^2)</f>
        <v>2507.7699134383074</v>
      </c>
      <c r="E16" s="30">
        <f>E14/((1+B15)^3)</f>
        <v>2105.1535194539492</v>
      </c>
      <c r="F16" s="30">
        <f>F14/((1+B15)^4)</f>
        <v>480.74959078215267</v>
      </c>
      <c r="G16" s="30">
        <f>G14/((1+B15)^5)</f>
        <v>752.28398899750562</v>
      </c>
    </row>
    <row r="17" spans="1:7" ht="15.6">
      <c r="A17" s="29" t="s">
        <v>20</v>
      </c>
      <c r="B17" s="30">
        <f>SUM(B16:G16)</f>
        <v>-3370.0708618925455</v>
      </c>
      <c r="C17" s="30"/>
      <c r="D17" s="30"/>
      <c r="E17" s="30"/>
      <c r="F17" s="30"/>
      <c r="G17" s="30"/>
    </row>
    <row r="18" spans="1:7" ht="15.6">
      <c r="A18" s="29" t="s">
        <v>21</v>
      </c>
      <c r="B18" s="30">
        <f>C16+D16+E16+F16+G16</f>
        <v>6629.9291381074554</v>
      </c>
      <c r="C18" s="30"/>
      <c r="D18" s="30"/>
      <c r="E18" s="30"/>
      <c r="F18" s="30"/>
      <c r="G18" s="3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4BC7-0E69-4D92-A0BC-F56D6AA9B21B}">
  <dimension ref="A1:G33"/>
  <sheetViews>
    <sheetView workbookViewId="0">
      <selection activeCell="B7" sqref="B7"/>
    </sheetView>
  </sheetViews>
  <sheetFormatPr defaultColWidth="8.7109375" defaultRowHeight="12.6"/>
  <cols>
    <col min="1" max="1" width="63.42578125" style="2" customWidth="1"/>
    <col min="2" max="2" width="20" style="2" customWidth="1"/>
    <col min="3" max="5" width="8.85546875" style="2" bestFit="1" customWidth="1"/>
    <col min="6" max="6" width="9.42578125" style="2" bestFit="1" customWidth="1"/>
    <col min="7" max="7" width="8.85546875" style="2" bestFit="1" customWidth="1"/>
    <col min="8" max="16384" width="8.7109375" style="2"/>
  </cols>
  <sheetData>
    <row r="1" spans="1:7" ht="16.899999999999999" customHeight="1">
      <c r="A1" s="35" t="s">
        <v>22</v>
      </c>
      <c r="B1" s="36"/>
      <c r="C1" s="37"/>
      <c r="D1" s="37"/>
      <c r="E1" s="37"/>
      <c r="F1" s="37"/>
      <c r="G1" s="37"/>
    </row>
    <row r="2" spans="1:7" ht="16.899999999999999" customHeight="1">
      <c r="A2" s="36"/>
      <c r="B2" s="36"/>
      <c r="C2" s="37"/>
      <c r="D2" s="37"/>
      <c r="E2" s="37"/>
      <c r="F2" s="37"/>
      <c r="G2" s="37"/>
    </row>
    <row r="3" spans="1:7" ht="16.899999999999999" customHeight="1">
      <c r="A3" s="38" t="s">
        <v>23</v>
      </c>
      <c r="B3" s="39">
        <v>100000</v>
      </c>
      <c r="C3" s="37"/>
      <c r="D3" s="37"/>
      <c r="E3" s="37"/>
      <c r="F3" s="37"/>
      <c r="G3" s="37"/>
    </row>
    <row r="4" spans="1:7" ht="16.899999999999999" customHeight="1">
      <c r="A4" s="38" t="s">
        <v>24</v>
      </c>
      <c r="B4" s="39">
        <v>25423.64</v>
      </c>
      <c r="C4" s="37"/>
      <c r="D4" s="37"/>
      <c r="E4" s="37"/>
      <c r="F4" s="37"/>
      <c r="G4" s="37"/>
    </row>
    <row r="5" spans="1:7" ht="16.899999999999999" customHeight="1">
      <c r="A5" s="38" t="s">
        <v>25</v>
      </c>
      <c r="B5" s="40">
        <v>0.1</v>
      </c>
      <c r="C5" s="37"/>
      <c r="D5" s="37"/>
      <c r="E5" s="37"/>
      <c r="F5" s="37"/>
      <c r="G5" s="37"/>
    </row>
    <row r="6" spans="1:7" ht="16.899999999999999" customHeight="1">
      <c r="A6" s="38" t="s">
        <v>26</v>
      </c>
      <c r="B6" s="36">
        <v>4</v>
      </c>
      <c r="C6" s="37"/>
      <c r="D6" s="37"/>
      <c r="E6" s="37"/>
      <c r="F6" s="37"/>
      <c r="G6" s="37"/>
    </row>
    <row r="7" spans="1:7" ht="16.899999999999999" customHeight="1">
      <c r="A7" s="38" t="s">
        <v>27</v>
      </c>
      <c r="B7" s="40">
        <v>0.5</v>
      </c>
      <c r="C7" s="37"/>
      <c r="D7" s="37"/>
      <c r="E7" s="37"/>
      <c r="F7" s="37"/>
      <c r="G7" s="37"/>
    </row>
    <row r="8" spans="1:7" ht="16.899999999999999" customHeight="1">
      <c r="A8" s="38"/>
      <c r="B8" s="36"/>
      <c r="C8" s="37"/>
      <c r="D8" s="37"/>
      <c r="E8" s="37"/>
      <c r="F8" s="37"/>
      <c r="G8" s="37"/>
    </row>
    <row r="9" spans="1:7" ht="16.899999999999999" customHeight="1">
      <c r="A9" s="38" t="s">
        <v>28</v>
      </c>
      <c r="B9" s="41">
        <f>(LN(B4/B3)+(B5+B7^2/2)*B6)/(B7*SQRT(B6))</f>
        <v>-0.46949073614294445</v>
      </c>
      <c r="C9" s="42"/>
      <c r="D9" s="37"/>
      <c r="E9" s="37"/>
      <c r="F9" s="37"/>
      <c r="G9" s="37"/>
    </row>
    <row r="10" spans="1:7" ht="16.899999999999999" customHeight="1">
      <c r="A10" s="38" t="s">
        <v>29</v>
      </c>
      <c r="B10" s="41">
        <f>NORMSDIST(B9)</f>
        <v>0.31935945249526437</v>
      </c>
      <c r="C10" s="42"/>
      <c r="D10" s="37"/>
      <c r="E10" s="37"/>
      <c r="F10" s="37"/>
      <c r="G10" s="37"/>
    </row>
    <row r="11" spans="1:7" ht="16.899999999999999" customHeight="1">
      <c r="A11" s="38" t="s">
        <v>30</v>
      </c>
      <c r="B11" s="41">
        <f>B9-B7*SQRT(B6)</f>
        <v>-1.4694907361429443</v>
      </c>
      <c r="C11" s="42"/>
      <c r="D11" s="37"/>
      <c r="E11" s="37"/>
      <c r="F11" s="37"/>
      <c r="G11" s="37"/>
    </row>
    <row r="12" spans="1:7" ht="16.899999999999999" customHeight="1">
      <c r="A12" s="38" t="s">
        <v>31</v>
      </c>
      <c r="B12" s="41">
        <f>NORMSDIST(B11)</f>
        <v>7.0849866333161149E-2</v>
      </c>
      <c r="C12" s="42"/>
      <c r="D12" s="37"/>
      <c r="E12" s="37"/>
      <c r="F12" s="37"/>
      <c r="G12" s="37"/>
    </row>
    <row r="13" spans="1:7" ht="16.899999999999999" customHeight="1">
      <c r="A13" s="38"/>
      <c r="B13" s="41"/>
      <c r="C13" s="42"/>
      <c r="D13" s="37"/>
      <c r="E13" s="37"/>
      <c r="F13" s="37"/>
      <c r="G13" s="37"/>
    </row>
    <row r="14" spans="1:7" ht="16.899999999999999" customHeight="1">
      <c r="A14" s="38" t="s">
        <v>32</v>
      </c>
      <c r="B14" s="43">
        <f>B4*B10-B3*EXP(-B5*B6)*B12</f>
        <v>3370.0711846303548</v>
      </c>
      <c r="C14" s="42"/>
      <c r="D14" s="37"/>
      <c r="E14" s="37"/>
      <c r="F14" s="37"/>
      <c r="G14" s="37"/>
    </row>
    <row r="15" spans="1:7" ht="16.899999999999999" customHeight="1">
      <c r="A15" s="44"/>
      <c r="B15" s="45"/>
      <c r="C15" s="42"/>
      <c r="D15" s="37"/>
      <c r="E15" s="37"/>
      <c r="F15" s="37"/>
      <c r="G15" s="37"/>
    </row>
    <row r="16" spans="1:7" ht="16.899999999999999" customHeight="1">
      <c r="A16" s="46" t="s">
        <v>33</v>
      </c>
      <c r="B16" s="42"/>
      <c r="C16" s="42"/>
      <c r="D16" s="37"/>
      <c r="E16" s="37"/>
      <c r="F16" s="37"/>
      <c r="G16" s="37"/>
    </row>
    <row r="17" spans="1:7" ht="16.899999999999999" customHeight="1">
      <c r="A17" s="44" t="s">
        <v>34</v>
      </c>
      <c r="B17" s="47"/>
      <c r="C17" s="47"/>
      <c r="D17" s="37"/>
      <c r="E17" s="37"/>
      <c r="F17" s="37"/>
      <c r="G17" s="37"/>
    </row>
    <row r="18" spans="1:7" ht="15.6">
      <c r="A18" s="44" t="s">
        <v>35</v>
      </c>
      <c r="B18" s="42"/>
      <c r="C18" s="42"/>
      <c r="D18" s="37"/>
      <c r="E18" s="37"/>
      <c r="F18" s="37"/>
      <c r="G18" s="37"/>
    </row>
    <row r="19" spans="1:7" ht="15.6">
      <c r="A19" s="44"/>
      <c r="B19" s="42"/>
      <c r="C19" s="42"/>
      <c r="D19" s="37"/>
      <c r="E19" s="37"/>
      <c r="F19" s="37"/>
      <c r="G19" s="37"/>
    </row>
    <row r="20" spans="1:7" ht="15.6">
      <c r="A20" s="48" t="s">
        <v>36</v>
      </c>
      <c r="B20" s="36">
        <v>2001</v>
      </c>
      <c r="C20" s="36">
        <v>2002</v>
      </c>
      <c r="D20" s="36">
        <v>2003</v>
      </c>
      <c r="E20" s="36">
        <v>2004</v>
      </c>
      <c r="F20" s="36">
        <v>2005</v>
      </c>
      <c r="G20" s="36">
        <v>2006</v>
      </c>
    </row>
    <row r="21" spans="1:7" ht="15.6">
      <c r="A21" s="48" t="s">
        <v>37</v>
      </c>
      <c r="B21" s="36">
        <v>0</v>
      </c>
      <c r="C21" s="36">
        <v>1</v>
      </c>
      <c r="D21" s="36">
        <v>2</v>
      </c>
      <c r="E21" s="36">
        <v>3</v>
      </c>
      <c r="F21" s="36">
        <v>4</v>
      </c>
      <c r="G21" s="36">
        <v>5</v>
      </c>
    </row>
    <row r="22" spans="1:7" ht="15.6">
      <c r="A22" s="49"/>
      <c r="B22" s="36"/>
      <c r="C22" s="36"/>
      <c r="D22" s="36"/>
      <c r="E22" s="36"/>
      <c r="F22" s="36"/>
      <c r="G22" s="36"/>
    </row>
    <row r="23" spans="1:7" ht="15.6">
      <c r="A23" s="49" t="s">
        <v>38</v>
      </c>
      <c r="B23" s="36"/>
      <c r="C23" s="36"/>
      <c r="D23" s="36"/>
      <c r="E23" s="36"/>
      <c r="F23" s="50">
        <v>-100000</v>
      </c>
      <c r="G23" s="36"/>
    </row>
    <row r="24" spans="1:7" ht="15.6">
      <c r="A24" s="49" t="s">
        <v>39</v>
      </c>
      <c r="B24" s="36">
        <f>F23/(1+'1'!J4)^4</f>
        <v>-68301.345536507055</v>
      </c>
      <c r="C24" s="36"/>
      <c r="D24" s="36"/>
      <c r="E24" s="36"/>
      <c r="F24" s="36"/>
      <c r="G24" s="36"/>
    </row>
    <row r="25" spans="1:7" ht="15.6">
      <c r="A25" s="49" t="s">
        <v>40</v>
      </c>
      <c r="B25" s="50">
        <f>-F23</f>
        <v>100000</v>
      </c>
      <c r="C25" s="36"/>
      <c r="D25" s="36"/>
      <c r="E25" s="36"/>
      <c r="F25" s="36"/>
      <c r="G25" s="36"/>
    </row>
    <row r="26" spans="1:7" ht="15.6">
      <c r="A26" s="49" t="s">
        <v>41</v>
      </c>
      <c r="B26" s="36">
        <v>25423.64</v>
      </c>
      <c r="C26" s="36"/>
      <c r="D26" s="36"/>
      <c r="E26" s="36"/>
      <c r="F26" s="36"/>
      <c r="G26" s="36"/>
    </row>
    <row r="27" spans="1:7" ht="15.6">
      <c r="A27" s="49" t="s">
        <v>42</v>
      </c>
      <c r="B27" s="50">
        <f>B24+B26</f>
        <v>-42877.705536507056</v>
      </c>
      <c r="C27" s="36"/>
      <c r="D27" s="36"/>
      <c r="E27" s="36"/>
      <c r="F27" s="36"/>
      <c r="G27" s="36"/>
    </row>
    <row r="28" spans="1:7" ht="15.6">
      <c r="A28" s="49"/>
      <c r="B28" s="36"/>
      <c r="C28" s="36"/>
      <c r="D28" s="36"/>
      <c r="E28" s="36"/>
      <c r="F28" s="36"/>
      <c r="G28" s="36"/>
    </row>
    <row r="29" spans="1:7" ht="15.6">
      <c r="A29" s="36" t="s">
        <v>43</v>
      </c>
      <c r="B29" s="51">
        <f>'1'!B17</f>
        <v>-3370.0708618925455</v>
      </c>
      <c r="C29" s="36"/>
      <c r="D29" s="36"/>
      <c r="E29" s="36"/>
      <c r="F29" s="36"/>
      <c r="G29" s="36"/>
    </row>
    <row r="30" spans="1:7" ht="15.6">
      <c r="A30" s="36" t="s">
        <v>44</v>
      </c>
      <c r="B30" s="51">
        <f>B14</f>
        <v>3370.0711846303548</v>
      </c>
      <c r="C30" s="36"/>
      <c r="D30" s="36"/>
      <c r="E30" s="36"/>
      <c r="F30" s="36"/>
      <c r="G30" s="36"/>
    </row>
    <row r="31" spans="1:7" ht="15.6">
      <c r="A31" s="36" t="s">
        <v>45</v>
      </c>
      <c r="B31" s="51">
        <f>B30+B29</f>
        <v>3.2273780925606843E-4</v>
      </c>
      <c r="C31" s="36"/>
      <c r="D31" s="36"/>
      <c r="E31" s="36"/>
      <c r="F31" s="36"/>
      <c r="G31" s="36"/>
    </row>
    <row r="32" spans="1:7" ht="15.6">
      <c r="A32" s="36"/>
      <c r="B32" s="36"/>
      <c r="C32" s="36"/>
      <c r="D32" s="36"/>
      <c r="E32" s="36"/>
      <c r="F32" s="36"/>
      <c r="G32" s="36"/>
    </row>
    <row r="33" spans="1:7" ht="15.6">
      <c r="A33" s="37"/>
      <c r="B33" s="37"/>
      <c r="C33" s="37"/>
      <c r="D33" s="37"/>
      <c r="E33" s="37"/>
      <c r="F33" s="37"/>
      <c r="G33" s="37"/>
    </row>
  </sheetData>
  <printOptions headings="1" gridLines="1"/>
  <pageMargins left="0.25" right="0.2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31A5B-24DD-495E-B7DE-3708CC33F4BF}">
  <dimension ref="A1:N22"/>
  <sheetViews>
    <sheetView tabSelected="1" workbookViewId="0">
      <selection activeCell="M12" sqref="M12"/>
    </sheetView>
  </sheetViews>
  <sheetFormatPr defaultRowHeight="14.45"/>
  <cols>
    <col min="1" max="1" width="28.42578125" customWidth="1"/>
    <col min="2" max="2" width="30.140625" customWidth="1"/>
    <col min="5" max="5" width="10.85546875" customWidth="1"/>
    <col min="8" max="8" width="10.140625" bestFit="1" customWidth="1"/>
    <col min="9" max="9" width="10.42578125" customWidth="1"/>
    <col min="11" max="11" width="11.5703125" customWidth="1"/>
    <col min="13" max="13" width="12.28515625" customWidth="1"/>
  </cols>
  <sheetData>
    <row r="1" spans="1:14" ht="15.6">
      <c r="A1" s="32" t="s">
        <v>46</v>
      </c>
      <c r="B1" s="52">
        <v>0.1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.6">
      <c r="A2" s="32" t="s">
        <v>47</v>
      </c>
      <c r="B2" s="53">
        <f>64.9%</f>
        <v>0.64900000000000002</v>
      </c>
      <c r="C2" s="3"/>
      <c r="D2" s="3"/>
      <c r="E2" s="4" t="s">
        <v>48</v>
      </c>
      <c r="F2" s="5"/>
      <c r="G2" s="5"/>
      <c r="H2" s="5"/>
      <c r="I2" s="5"/>
      <c r="J2" s="5"/>
      <c r="K2" s="5"/>
      <c r="L2" s="5"/>
      <c r="M2" s="5"/>
      <c r="N2" s="5"/>
    </row>
    <row r="3" spans="1:14" ht="15.6">
      <c r="A3" s="32" t="s">
        <v>49</v>
      </c>
      <c r="B3" s="54">
        <f>-39.3%</f>
        <v>-0.39299999999999996</v>
      </c>
      <c r="C3" s="3"/>
      <c r="D3" s="3"/>
      <c r="E3" s="6"/>
      <c r="F3" s="7"/>
      <c r="G3" s="7"/>
      <c r="H3" s="7"/>
      <c r="I3" s="7"/>
      <c r="J3" s="7"/>
      <c r="K3" s="8">
        <f>B2</f>
        <v>0.64900000000000002</v>
      </c>
      <c r="L3" s="7"/>
      <c r="M3" s="9">
        <f>I5*(1+B2)</f>
        <v>18028.112285930001</v>
      </c>
      <c r="N3" s="10" t="s">
        <v>50</v>
      </c>
    </row>
    <row r="4" spans="1:14" ht="15.6">
      <c r="A4" s="32" t="s">
        <v>10</v>
      </c>
      <c r="B4" s="52">
        <f>50%</f>
        <v>0.5</v>
      </c>
      <c r="C4" s="3"/>
      <c r="D4" s="3"/>
      <c r="E4" s="11"/>
      <c r="F4" s="12"/>
      <c r="G4" s="12"/>
      <c r="H4" s="12"/>
      <c r="I4" s="12"/>
      <c r="J4" s="12"/>
      <c r="K4" s="12"/>
      <c r="L4" s="12"/>
      <c r="M4" s="13"/>
      <c r="N4" s="14"/>
    </row>
    <row r="5" spans="1:14">
      <c r="A5" s="5"/>
      <c r="B5" s="5"/>
      <c r="C5" s="3"/>
      <c r="D5" s="3"/>
      <c r="E5" s="11"/>
      <c r="F5" s="12"/>
      <c r="G5" s="15">
        <f>B2</f>
        <v>0.64900000000000002</v>
      </c>
      <c r="H5" s="12"/>
      <c r="I5" s="16">
        <f>E7*(1+B2)</f>
        <v>10932.754570000001</v>
      </c>
      <c r="J5" s="12"/>
      <c r="K5" s="15">
        <f>B3</f>
        <v>-0.39299999999999996</v>
      </c>
      <c r="L5" s="12"/>
      <c r="M5" s="12"/>
      <c r="N5" s="14"/>
    </row>
    <row r="6" spans="1:14" ht="15.6">
      <c r="A6" s="4" t="s">
        <v>51</v>
      </c>
      <c r="B6" s="5"/>
      <c r="C6" s="3"/>
      <c r="D6" s="3"/>
      <c r="E6" s="11"/>
      <c r="F6" s="12"/>
      <c r="G6" s="12"/>
      <c r="H6" s="12"/>
      <c r="I6" s="12"/>
      <c r="J6" s="12"/>
      <c r="K6" s="12"/>
      <c r="L6" s="12"/>
      <c r="M6" s="12"/>
      <c r="N6" s="14"/>
    </row>
    <row r="7" spans="1:14" ht="15.6">
      <c r="A7" s="32" t="s">
        <v>52</v>
      </c>
      <c r="B7" s="55">
        <f>(B1-B3)/(B2-B3)</f>
        <v>0.4731285988483685</v>
      </c>
      <c r="C7" s="3"/>
      <c r="D7" s="3"/>
      <c r="E7" s="17">
        <v>6629.93</v>
      </c>
      <c r="F7" s="12"/>
      <c r="G7" s="12"/>
      <c r="H7" s="12"/>
      <c r="I7" s="12"/>
      <c r="J7" s="12"/>
      <c r="K7" s="12"/>
      <c r="L7" s="12"/>
      <c r="M7" s="12"/>
      <c r="N7" s="14"/>
    </row>
    <row r="8" spans="1:14" ht="15.6">
      <c r="A8" s="32" t="s">
        <v>53</v>
      </c>
      <c r="B8" s="55">
        <f>1-B7</f>
        <v>0.52687140115163156</v>
      </c>
      <c r="C8" s="3"/>
      <c r="D8" s="3"/>
      <c r="E8" s="11"/>
      <c r="F8" s="12"/>
      <c r="G8" s="12"/>
      <c r="H8" s="12"/>
      <c r="I8" s="12"/>
      <c r="J8" s="12"/>
      <c r="K8" s="15">
        <f>B2</f>
        <v>0.64900000000000002</v>
      </c>
      <c r="L8" s="12"/>
      <c r="M8" s="16">
        <f>I5*(1+B3)</f>
        <v>6636.1820239900007</v>
      </c>
      <c r="N8" s="18" t="s">
        <v>50</v>
      </c>
    </row>
    <row r="9" spans="1:14">
      <c r="A9" s="5"/>
      <c r="B9" s="5"/>
      <c r="C9" s="3"/>
      <c r="D9" s="3"/>
      <c r="E9" s="11"/>
      <c r="F9" s="12"/>
      <c r="G9" s="15">
        <f>B3</f>
        <v>-0.39299999999999996</v>
      </c>
      <c r="H9" s="12"/>
      <c r="I9" s="16">
        <f>E7*(1+B3)</f>
        <v>4024.36751</v>
      </c>
      <c r="J9" s="12"/>
      <c r="K9" s="12"/>
      <c r="L9" s="12"/>
      <c r="M9" s="12"/>
      <c r="N9" s="14"/>
    </row>
    <row r="10" spans="1:14" ht="15.6">
      <c r="A10" s="59" t="s">
        <v>54</v>
      </c>
      <c r="B10" s="59"/>
      <c r="C10" s="3"/>
      <c r="D10" s="3"/>
      <c r="E10" s="11"/>
      <c r="F10" s="12"/>
      <c r="G10" s="12"/>
      <c r="H10" s="12"/>
      <c r="I10" s="12"/>
      <c r="J10" s="12"/>
      <c r="K10" s="15">
        <f>B3</f>
        <v>-0.39299999999999996</v>
      </c>
      <c r="L10" s="12"/>
      <c r="M10" s="12"/>
      <c r="N10" s="14"/>
    </row>
    <row r="11" spans="1:14" ht="46.5">
      <c r="A11" s="57" t="s">
        <v>55</v>
      </c>
      <c r="B11" s="58">
        <f>'1'!B18</f>
        <v>6629.9291381074554</v>
      </c>
      <c r="C11" s="3"/>
      <c r="D11" s="3"/>
      <c r="E11" s="19"/>
      <c r="F11" s="20"/>
      <c r="G11" s="20"/>
      <c r="H11" s="20"/>
      <c r="I11" s="20"/>
      <c r="J11" s="20"/>
      <c r="K11" s="20"/>
      <c r="L11" s="20"/>
      <c r="M11" s="21">
        <f>I9*(1+B3)</f>
        <v>2442.7910785700001</v>
      </c>
      <c r="N11" s="22" t="s">
        <v>50</v>
      </c>
    </row>
    <row r="12" spans="1:14" ht="15.6">
      <c r="A12" s="56" t="s">
        <v>56</v>
      </c>
      <c r="B12" s="58">
        <f>4000</f>
        <v>4000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15.6">
      <c r="A13" s="56"/>
      <c r="B13" s="5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15.6">
      <c r="A14" s="56" t="s">
        <v>57</v>
      </c>
      <c r="B14" s="58">
        <f>'1'!B17</f>
        <v>-3370.0708618925455</v>
      </c>
      <c r="C14" s="3"/>
      <c r="D14" s="3"/>
      <c r="E14" s="4" t="s">
        <v>58</v>
      </c>
      <c r="F14" s="5"/>
      <c r="G14" s="5"/>
      <c r="H14" s="5"/>
      <c r="I14" s="5"/>
      <c r="J14" s="5"/>
      <c r="K14" s="5"/>
      <c r="L14" s="5"/>
      <c r="M14" s="5"/>
      <c r="N14" s="5"/>
    </row>
    <row r="15" spans="1:14" ht="15.6">
      <c r="A15" s="56" t="s">
        <v>59</v>
      </c>
      <c r="B15" s="58">
        <f>E17</f>
        <v>0</v>
      </c>
      <c r="C15" s="3"/>
      <c r="D15" s="3"/>
      <c r="E15" s="6"/>
      <c r="F15" s="7"/>
      <c r="G15" s="7"/>
      <c r="H15" s="7"/>
      <c r="I15" s="7"/>
      <c r="J15" s="7"/>
      <c r="K15" s="7">
        <v>0</v>
      </c>
      <c r="L15" s="23" t="s">
        <v>60</v>
      </c>
      <c r="M15" s="13"/>
      <c r="N15" s="14"/>
    </row>
    <row r="16" spans="1:14" ht="15.6">
      <c r="A16" s="56" t="s">
        <v>45</v>
      </c>
      <c r="B16" s="58">
        <f>B14+B15</f>
        <v>-3370.0708618925455</v>
      </c>
      <c r="C16" s="3"/>
      <c r="D16" s="3"/>
      <c r="E16" s="11"/>
      <c r="F16" s="12"/>
      <c r="G16" s="12"/>
      <c r="H16" s="13">
        <v>0</v>
      </c>
      <c r="I16" s="12"/>
      <c r="J16" s="12"/>
      <c r="K16" s="12"/>
      <c r="L16" s="12"/>
      <c r="M16" s="12"/>
      <c r="N16" s="14"/>
    </row>
    <row r="17" spans="1:14">
      <c r="A17" s="3"/>
      <c r="B17" s="3"/>
      <c r="C17" s="3"/>
      <c r="D17" s="3"/>
      <c r="E17" s="11"/>
      <c r="F17" s="12"/>
      <c r="G17" s="12"/>
      <c r="H17" s="13" t="s">
        <v>61</v>
      </c>
      <c r="I17" s="12"/>
      <c r="J17" s="12"/>
      <c r="K17" s="12"/>
      <c r="L17" s="12"/>
      <c r="M17" s="12"/>
      <c r="N17" s="14"/>
    </row>
    <row r="18" spans="1:14">
      <c r="A18" s="3"/>
      <c r="B18" s="3"/>
      <c r="C18" s="3"/>
      <c r="D18" s="3"/>
      <c r="E18" s="17">
        <f>(H16*B7+H20*B8)/(1+B1)</f>
        <v>357.24878779642222</v>
      </c>
      <c r="F18" s="12"/>
      <c r="G18" s="12"/>
      <c r="H18" s="12"/>
      <c r="I18" s="12"/>
      <c r="J18" s="12"/>
      <c r="K18" s="12">
        <v>0</v>
      </c>
      <c r="L18" s="24" t="s">
        <v>62</v>
      </c>
      <c r="M18" s="12"/>
      <c r="N18" s="14"/>
    </row>
    <row r="19" spans="1:14">
      <c r="A19" s="3"/>
      <c r="B19" s="3"/>
      <c r="C19" s="3"/>
      <c r="D19" s="3"/>
      <c r="E19" s="25" t="s">
        <v>63</v>
      </c>
      <c r="F19" s="12"/>
      <c r="G19" s="12"/>
      <c r="H19" s="12"/>
      <c r="I19" s="12"/>
      <c r="J19" s="12"/>
      <c r="K19" s="12"/>
      <c r="L19" s="12"/>
      <c r="M19" s="13"/>
      <c r="N19" s="14"/>
    </row>
    <row r="20" spans="1:14">
      <c r="A20" s="3"/>
      <c r="B20" s="3"/>
      <c r="C20" s="3"/>
      <c r="D20" s="3"/>
      <c r="E20" s="11"/>
      <c r="F20" s="12"/>
      <c r="G20" s="12"/>
      <c r="H20" s="26">
        <f>(K18*B7+K22*B8)/(1+B1)</f>
        <v>745.86258756331358</v>
      </c>
      <c r="I20" s="12"/>
      <c r="J20" s="12"/>
      <c r="K20" s="12"/>
      <c r="L20" s="12"/>
      <c r="M20" s="12"/>
      <c r="N20" s="14"/>
    </row>
    <row r="21" spans="1:14">
      <c r="A21" s="3"/>
      <c r="B21" s="3"/>
      <c r="C21" s="3"/>
      <c r="D21" s="3"/>
      <c r="E21" s="11"/>
      <c r="F21" s="12"/>
      <c r="G21" s="12"/>
      <c r="H21" s="13" t="s">
        <v>64</v>
      </c>
      <c r="I21" s="12"/>
      <c r="J21" s="12"/>
      <c r="K21" s="12"/>
      <c r="L21" s="12"/>
      <c r="M21" s="12"/>
      <c r="N21" s="14"/>
    </row>
    <row r="22" spans="1:14">
      <c r="A22" s="3"/>
      <c r="B22" s="3"/>
      <c r="C22" s="3"/>
      <c r="D22" s="3"/>
      <c r="E22" s="19"/>
      <c r="F22" s="20"/>
      <c r="G22" s="20"/>
      <c r="H22" s="20"/>
      <c r="I22" s="20"/>
      <c r="J22" s="20"/>
      <c r="K22" s="21">
        <f>B12-M11</f>
        <v>1557.2089214299999</v>
      </c>
      <c r="L22" s="27" t="s">
        <v>65</v>
      </c>
      <c r="M22" s="12"/>
      <c r="N22" s="14"/>
    </row>
  </sheetData>
  <mergeCells count="1">
    <mergeCell ref="A10:B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33622e-99b6-422c-9e82-526d653e49b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92E07E4D97AC44946A8CBA9A30CCCA" ma:contentTypeVersion="6" ma:contentTypeDescription="Create a new document." ma:contentTypeScope="" ma:versionID="3dca59fb2b3fa38fc2c47c5a1b6af9ea">
  <xsd:schema xmlns:xsd="http://www.w3.org/2001/XMLSchema" xmlns:xs="http://www.w3.org/2001/XMLSchema" xmlns:p="http://schemas.microsoft.com/office/2006/metadata/properties" xmlns:ns3="f133622e-99b6-422c-9e82-526d653e49ba" targetNamespace="http://schemas.microsoft.com/office/2006/metadata/properties" ma:root="true" ma:fieldsID="f480d5df5cb39cf11e09abc394593726" ns3:_="">
    <xsd:import namespace="f133622e-99b6-422c-9e82-526d653e49b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33622e-99b6-422c-9e82-526d653e49b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3FA7E8-E7C3-42CA-8B79-39EC70B0380D}"/>
</file>

<file path=customXml/itemProps2.xml><?xml version="1.0" encoding="utf-8"?>
<ds:datastoreItem xmlns:ds="http://schemas.openxmlformats.org/officeDocument/2006/customXml" ds:itemID="{01A27490-2632-4C40-9FEE-A4393560CC5E}"/>
</file>

<file path=customXml/itemProps3.xml><?xml version="1.0" encoding="utf-8"?>
<ds:datastoreItem xmlns:ds="http://schemas.openxmlformats.org/officeDocument/2006/customXml" ds:itemID="{FAB3E3DD-6F03-41AF-9958-66F6F84CB6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Punit Alagappan</dc:creator>
  <cp:keywords/>
  <dc:description/>
  <cp:lastModifiedBy/>
  <cp:revision/>
  <dcterms:created xsi:type="dcterms:W3CDTF">2015-06-05T18:17:20Z</dcterms:created>
  <dcterms:modified xsi:type="dcterms:W3CDTF">2025-12-01T05:30:49Z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0x010100EB92E07E4D97AC44946A8CBA9A30CCCA</vt:lpwstr>
  </property>
</Properties>
</file>