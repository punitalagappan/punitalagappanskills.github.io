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nitalagappankasi/Downloads/"/>
    </mc:Choice>
  </mc:AlternateContent>
  <xr:revisionPtr revIDLastSave="0" documentId="8_{7D9E9C22-0AA1-BE41-83A4-A26A349C61F2}" xr6:coauthVersionLast="47" xr6:coauthVersionMax="47" xr10:uidLastSave="{00000000-0000-0000-0000-000000000000}"/>
  <bookViews>
    <workbookView xWindow="0" yWindow="500" windowWidth="28800" windowHeight="16180" tabRatio="754" activeTab="3" xr2:uid="{00000000-000D-0000-FFFF-FFFF00000000}"/>
  </bookViews>
  <sheets>
    <sheet name="SBUX Income Statement" sheetId="4" r:id="rId1"/>
    <sheet name="SBUX Balance Sheet" sheetId="1" r:id="rId2"/>
    <sheet name="SBUX Cash Flow" sheetId="5" r:id="rId3"/>
    <sheet name="SBUX Ratios" sheetId="8" r:id="rId4"/>
  </sheets>
  <definedNames>
    <definedName name="AcctPayableDays">'SBUX Ratios'!$I$16</definedName>
    <definedName name="AcctRecDays">'SBUX Ratios'!$I$14</definedName>
    <definedName name="AcctsPayable">'SBUX Balance Sheet'!$U$10</definedName>
    <definedName name="AcctsReceivable">'SBUX Balance Sheet'!$H$14</definedName>
    <definedName name="CFFFA">'SBUX Cash Flow'!$I$42</definedName>
    <definedName name="CFFIA">'SBUX Cash Flow'!$I$31</definedName>
    <definedName name="CFFO">'SBUX Cash Flow'!$I$24</definedName>
    <definedName name="CMLTD">'SBUX Balance Sheet'!$U$19</definedName>
    <definedName name="COGS">'SBUX Income Statement'!$H$11</definedName>
    <definedName name="CurrentAssets">'SBUX Balance Sheet'!$H$20</definedName>
    <definedName name="CurrLiabilities">'SBUX Balance Sheet'!$U$20</definedName>
    <definedName name="DeprandAmort">'SBUX Cash Flow'!$I$8</definedName>
    <definedName name="DilutedEPS">'SBUX Income Statement'!$H$34</definedName>
    <definedName name="EBIT">'SBUX Income Statement'!$H$21</definedName>
    <definedName name="EBITDA">'SBUX Income Statement'!$H$22</definedName>
    <definedName name="EBT">'SBUX Income Statement'!$H$27</definedName>
    <definedName name="FCF">'SBUX Cash Flow'!$I$32</definedName>
    <definedName name="GrossProfit">'SBUX Income Statement'!$H$13</definedName>
    <definedName name="IncomeTax">'SBUX Income Statement'!$H$28</definedName>
    <definedName name="InterestExpense">'SBUX Income Statement'!$H$26</definedName>
    <definedName name="Inventory">'SBUX Balance Sheet'!$H$16</definedName>
    <definedName name="InventoryDays">'SBUX Ratios'!$I$15</definedName>
    <definedName name="Leases">'SBUX Ratios'!$T$26</definedName>
    <definedName name="LongTermDebt">'SBUX Balance Sheet'!$U$21</definedName>
    <definedName name="NetIncome">'SBUX Income Statement'!$H$31</definedName>
    <definedName name="_xlnm.Print_Area" localSheetId="1">'SBUX Balance Sheet'!$B$6:$Z$36</definedName>
    <definedName name="_xlnm.Print_Area" localSheetId="2">'SBUX Cash Flow'!$B$2:$N$46</definedName>
    <definedName name="_xlnm.Print_Area" localSheetId="0">'SBUX Income Statement'!$B$3:$M$40</definedName>
    <definedName name="_xlnm.Print_Area" localSheetId="3">'SBUX Ratios'!$B$1:$K$44</definedName>
    <definedName name="Revenue">'SBUX Income Statement'!$H$10</definedName>
    <definedName name="TotalAssets">'SBUX Balance Sheet'!$H$35</definedName>
    <definedName name="TotalEquity">'SBUX Balance Sheet'!$U$32</definedName>
    <definedName name="TotalLiabilities">'SBUX Balance Sheet'!$U$26</definedName>
    <definedName name="TotLiabandEquity">'SBUX Balance Sheet'!$U$35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3" i="8" l="1"/>
  <c r="F43" i="8"/>
  <c r="G43" i="8"/>
  <c r="D43" i="8"/>
  <c r="E42" i="8"/>
  <c r="F42" i="8"/>
  <c r="G42" i="8"/>
  <c r="D42" i="8"/>
  <c r="E40" i="8"/>
  <c r="F40" i="8"/>
  <c r="G40" i="8"/>
  <c r="D40" i="8"/>
  <c r="E36" i="8"/>
  <c r="F36" i="8"/>
  <c r="G36" i="8"/>
  <c r="D36" i="8"/>
  <c r="E35" i="8"/>
  <c r="F35" i="8"/>
  <c r="G35" i="8"/>
  <c r="D35" i="8"/>
  <c r="E34" i="8"/>
  <c r="F34" i="8"/>
  <c r="G34" i="8"/>
  <c r="D34" i="8"/>
  <c r="E31" i="8"/>
  <c r="F31" i="8"/>
  <c r="G31" i="8"/>
  <c r="D31" i="8"/>
  <c r="E29" i="8"/>
  <c r="F29" i="8"/>
  <c r="G29" i="8"/>
  <c r="D29" i="8"/>
  <c r="F30" i="8"/>
  <c r="G30" i="8"/>
  <c r="D30" i="8"/>
  <c r="E30" i="8"/>
  <c r="E26" i="8"/>
  <c r="F26" i="8"/>
  <c r="G26" i="8"/>
  <c r="D26" i="8"/>
  <c r="E25" i="8"/>
  <c r="F25" i="8"/>
  <c r="G25" i="8"/>
  <c r="D25" i="8"/>
  <c r="D24" i="8"/>
  <c r="G24" i="8"/>
  <c r="E24" i="8"/>
  <c r="F24" i="8"/>
  <c r="E23" i="8"/>
  <c r="F23" i="8"/>
  <c r="G23" i="8"/>
  <c r="D23" i="8"/>
  <c r="E22" i="8"/>
  <c r="F22" i="8"/>
  <c r="G22" i="8"/>
  <c r="D22" i="8"/>
  <c r="E21" i="8"/>
  <c r="F21" i="8"/>
  <c r="G21" i="8"/>
  <c r="D21" i="8"/>
  <c r="E18" i="8"/>
  <c r="F18" i="8"/>
  <c r="G18" i="8"/>
  <c r="D18" i="8"/>
  <c r="E17" i="8"/>
  <c r="F17" i="8"/>
  <c r="G17" i="8"/>
  <c r="D17" i="8"/>
  <c r="E16" i="8"/>
  <c r="F16" i="8"/>
  <c r="G16" i="8"/>
  <c r="D16" i="8"/>
  <c r="E15" i="8"/>
  <c r="F15" i="8"/>
  <c r="G15" i="8"/>
  <c r="D15" i="8"/>
  <c r="D14" i="8"/>
  <c r="E14" i="8"/>
  <c r="F14" i="8"/>
  <c r="G14" i="8"/>
  <c r="E11" i="8"/>
  <c r="F11" i="8"/>
  <c r="G11" i="8"/>
  <c r="D11" i="8"/>
  <c r="E10" i="8"/>
  <c r="F10" i="8"/>
  <c r="G10" i="8"/>
  <c r="D10" i="8"/>
  <c r="E9" i="8"/>
  <c r="F9" i="8"/>
  <c r="G9" i="8"/>
  <c r="D9" i="8"/>
  <c r="D46" i="5"/>
  <c r="D42" i="5"/>
  <c r="D33" i="5"/>
  <c r="D32" i="5"/>
  <c r="E32" i="5"/>
  <c r="D31" i="5"/>
  <c r="D30" i="5"/>
  <c r="D24" i="5"/>
  <c r="D15" i="5"/>
  <c r="D9" i="5"/>
  <c r="P35" i="1"/>
  <c r="P26" i="1"/>
  <c r="P25" i="1"/>
  <c r="P20" i="1"/>
  <c r="C35" i="1"/>
  <c r="C32" i="1"/>
  <c r="C20" i="1"/>
  <c r="C12" i="1"/>
  <c r="C68" i="4"/>
  <c r="C66" i="4"/>
  <c r="C64" i="4"/>
  <c r="C61" i="4"/>
  <c r="C63" i="4"/>
  <c r="C62" i="4"/>
  <c r="C59" i="4"/>
  <c r="C58" i="4"/>
  <c r="C57" i="4"/>
  <c r="C56" i="4"/>
  <c r="C55" i="4"/>
  <c r="C54" i="4"/>
  <c r="C53" i="4"/>
  <c r="C51" i="4"/>
  <c r="C50" i="4"/>
  <c r="C49" i="4"/>
  <c r="C48" i="4"/>
  <c r="D48" i="4"/>
  <c r="D29" i="4"/>
  <c r="D27" i="4"/>
  <c r="C22" i="4"/>
  <c r="C60" i="4" s="1"/>
  <c r="D22" i="4"/>
  <c r="C21" i="4"/>
  <c r="C13" i="4"/>
  <c r="D13" i="4"/>
  <c r="D21" i="4"/>
  <c r="C10" i="4"/>
  <c r="C44" i="4"/>
  <c r="D6" i="8"/>
  <c r="D6" i="5"/>
  <c r="P9" i="1"/>
  <c r="C9" i="1"/>
  <c r="O15" i="4"/>
  <c r="F54" i="4"/>
  <c r="F55" i="4"/>
  <c r="G55" i="4"/>
  <c r="E56" i="4"/>
  <c r="F50" i="4"/>
  <c r="G61" i="4"/>
  <c r="E62" i="4"/>
  <c r="F62" i="4"/>
  <c r="G62" i="4"/>
  <c r="E63" i="4"/>
  <c r="D58" i="4"/>
  <c r="D61" i="4"/>
  <c r="D62" i="4"/>
  <c r="D63" i="4"/>
  <c r="E13" i="4"/>
  <c r="E6" i="8"/>
  <c r="E33" i="5"/>
  <c r="E42" i="5"/>
  <c r="E30" i="5"/>
  <c r="E31" i="5" s="1"/>
  <c r="E15" i="5"/>
  <c r="Q32" i="1"/>
  <c r="Q25" i="1"/>
  <c r="Q19" i="1"/>
  <c r="D25" i="1"/>
  <c r="D32" i="1" s="1"/>
  <c r="D12" i="1"/>
  <c r="D20" i="1" s="1"/>
  <c r="Q9" i="1"/>
  <c r="D9" i="1"/>
  <c r="E6" i="5"/>
  <c r="E9" i="5"/>
  <c r="E24" i="5" s="1"/>
  <c r="D10" i="4"/>
  <c r="F10" i="4"/>
  <c r="G10" i="4"/>
  <c r="G58" i="4" s="1"/>
  <c r="E10" i="4"/>
  <c r="G9" i="5"/>
  <c r="G24" i="5" s="1"/>
  <c r="G32" i="5" s="1"/>
  <c r="G44" i="5" s="1"/>
  <c r="H9" i="5"/>
  <c r="H10" i="4"/>
  <c r="H13" i="4"/>
  <c r="H21" i="4"/>
  <c r="I9" i="5"/>
  <c r="H22" i="4"/>
  <c r="H27" i="4" s="1"/>
  <c r="H29" i="4" s="1"/>
  <c r="H31" i="4" s="1"/>
  <c r="I10" i="4"/>
  <c r="I13" i="4"/>
  <c r="I21" i="4"/>
  <c r="J9" i="5"/>
  <c r="J24" i="5" s="1"/>
  <c r="I22" i="4"/>
  <c r="J10" i="4"/>
  <c r="J13" i="4"/>
  <c r="J21" i="4" s="1"/>
  <c r="K9" i="5"/>
  <c r="K24" i="5" s="1"/>
  <c r="K32" i="5" s="1"/>
  <c r="K44" i="5" s="1"/>
  <c r="K10" i="4"/>
  <c r="K13" i="4"/>
  <c r="K21" i="4"/>
  <c r="L26" i="8" s="1"/>
  <c r="K22" i="4"/>
  <c r="L24" i="8" s="1"/>
  <c r="L10" i="4"/>
  <c r="L13" i="4"/>
  <c r="L21" i="4"/>
  <c r="L22" i="4"/>
  <c r="M24" i="8" s="1"/>
  <c r="M10" i="4"/>
  <c r="M13" i="4"/>
  <c r="M21" i="4"/>
  <c r="M22" i="4"/>
  <c r="N24" i="8" s="1"/>
  <c r="F9" i="5"/>
  <c r="R19" i="1"/>
  <c r="R20" i="1" s="1"/>
  <c r="R26" i="1" s="1"/>
  <c r="R35" i="1" s="1"/>
  <c r="T19" i="1"/>
  <c r="W32" i="1"/>
  <c r="W34" i="1"/>
  <c r="X32" i="1"/>
  <c r="L23" i="8" s="1"/>
  <c r="X34" i="1"/>
  <c r="Y32" i="1"/>
  <c r="M22" i="8" s="1"/>
  <c r="Y34" i="1"/>
  <c r="Z32" i="1"/>
  <c r="N22" i="8" s="1"/>
  <c r="U32" i="1"/>
  <c r="U34" i="1"/>
  <c r="V32" i="1"/>
  <c r="V34" i="1" s="1"/>
  <c r="T32" i="1"/>
  <c r="T34" i="1"/>
  <c r="S32" i="1"/>
  <c r="S34" i="1"/>
  <c r="R32" i="1"/>
  <c r="R34" i="1"/>
  <c r="E12" i="1"/>
  <c r="E20" i="1"/>
  <c r="E25" i="1"/>
  <c r="E32" i="1"/>
  <c r="F12" i="1"/>
  <c r="F20" i="1"/>
  <c r="F25" i="1"/>
  <c r="F32" i="1" s="1"/>
  <c r="S20" i="1"/>
  <c r="G15" i="5"/>
  <c r="G30" i="5"/>
  <c r="G31" i="5"/>
  <c r="G33" i="5"/>
  <c r="G42" i="5"/>
  <c r="H15" i="5"/>
  <c r="H24" i="5"/>
  <c r="H30" i="5"/>
  <c r="H31" i="5" s="1"/>
  <c r="H33" i="5"/>
  <c r="H42" i="5"/>
  <c r="F15" i="5"/>
  <c r="F24" i="5"/>
  <c r="F30" i="5"/>
  <c r="F31" i="5"/>
  <c r="F32" i="5"/>
  <c r="F44" i="5" s="1"/>
  <c r="F33" i="5"/>
  <c r="F42" i="5"/>
  <c r="R25" i="1"/>
  <c r="S25" i="1"/>
  <c r="S26" i="1"/>
  <c r="S35" i="1"/>
  <c r="S15" i="4"/>
  <c r="H42" i="8"/>
  <c r="I42" i="8"/>
  <c r="G12" i="1"/>
  <c r="G20" i="1"/>
  <c r="H29" i="8" s="1"/>
  <c r="G25" i="1"/>
  <c r="G32" i="1"/>
  <c r="G35" i="1"/>
  <c r="H12" i="1"/>
  <c r="H20" i="1"/>
  <c r="H25" i="1"/>
  <c r="H32" i="1"/>
  <c r="T20" i="1"/>
  <c r="T26" i="1" s="1"/>
  <c r="T35" i="1" s="1"/>
  <c r="U20" i="1"/>
  <c r="I36" i="8"/>
  <c r="H40" i="8"/>
  <c r="H41" i="8" s="1"/>
  <c r="H44" i="8"/>
  <c r="I44" i="8"/>
  <c r="T25" i="1"/>
  <c r="U25" i="1"/>
  <c r="N21" i="8"/>
  <c r="I30" i="5"/>
  <c r="K15" i="5"/>
  <c r="Q11" i="5" s="1"/>
  <c r="J15" i="5"/>
  <c r="P11" i="5" s="1"/>
  <c r="I15" i="5"/>
  <c r="I24" i="5"/>
  <c r="I31" i="5"/>
  <c r="I42" i="5"/>
  <c r="V20" i="1"/>
  <c r="I32" i="5"/>
  <c r="I44" i="5"/>
  <c r="J42" i="8"/>
  <c r="J44" i="8" s="1"/>
  <c r="Q16" i="4"/>
  <c r="Q18" i="4"/>
  <c r="Q17" i="4"/>
  <c r="J30" i="5"/>
  <c r="J31" i="5" s="1"/>
  <c r="V25" i="1"/>
  <c r="V26" i="1" s="1"/>
  <c r="V35" i="1" s="1"/>
  <c r="W24" i="1"/>
  <c r="W25" i="1"/>
  <c r="W26" i="1" s="1"/>
  <c r="W35" i="1" s="1"/>
  <c r="I25" i="1"/>
  <c r="I32" i="1" s="1"/>
  <c r="I12" i="1"/>
  <c r="J42" i="5"/>
  <c r="I20" i="1"/>
  <c r="J29" i="8"/>
  <c r="J30" i="8"/>
  <c r="K42" i="8"/>
  <c r="K44" i="8" s="1"/>
  <c r="L29" i="5"/>
  <c r="L31" i="5" s="1"/>
  <c r="L32" i="5" s="1"/>
  <c r="L44" i="5" s="1"/>
  <c r="L46" i="5" s="1"/>
  <c r="K45" i="5" s="1"/>
  <c r="K42" i="5"/>
  <c r="K30" i="5"/>
  <c r="K31" i="5" s="1"/>
  <c r="W20" i="1"/>
  <c r="J25" i="1"/>
  <c r="J32" i="1"/>
  <c r="J12" i="1"/>
  <c r="J20" i="1" s="1"/>
  <c r="N42" i="5"/>
  <c r="M42" i="5"/>
  <c r="M44" i="5" s="1"/>
  <c r="M46" i="5" s="1"/>
  <c r="L42" i="5"/>
  <c r="N31" i="5"/>
  <c r="N24" i="5"/>
  <c r="N32" i="5"/>
  <c r="N44" i="5"/>
  <c r="N46" i="5" s="1"/>
  <c r="M31" i="5"/>
  <c r="M24" i="5"/>
  <c r="L24" i="5"/>
  <c r="M26" i="8"/>
  <c r="M32" i="5"/>
  <c r="Y15" i="1"/>
  <c r="Y16" i="1"/>
  <c r="Y20" i="1"/>
  <c r="Z24" i="1"/>
  <c r="Y24" i="1"/>
  <c r="X25" i="1"/>
  <c r="Z16" i="1"/>
  <c r="Z20" i="1"/>
  <c r="Z25" i="1"/>
  <c r="X16" i="1"/>
  <c r="X20" i="1"/>
  <c r="X26" i="1" s="1"/>
  <c r="X35" i="1" s="1"/>
  <c r="L25" i="1"/>
  <c r="L32" i="1"/>
  <c r="M25" i="1"/>
  <c r="M32" i="1"/>
  <c r="L20" i="1"/>
  <c r="M20" i="1"/>
  <c r="K25" i="1"/>
  <c r="K32" i="1"/>
  <c r="K12" i="1"/>
  <c r="K20" i="1"/>
  <c r="K35" i="1" s="1"/>
  <c r="Y25" i="1"/>
  <c r="Z35" i="1"/>
  <c r="M35" i="1"/>
  <c r="N42" i="8"/>
  <c r="N44" i="8"/>
  <c r="M42" i="8"/>
  <c r="M44" i="8"/>
  <c r="L42" i="8"/>
  <c r="L44" i="8"/>
  <c r="M40" i="8"/>
  <c r="M41" i="8" s="1"/>
  <c r="N40" i="8"/>
  <c r="L40" i="8"/>
  <c r="M30" i="8"/>
  <c r="N30" i="8"/>
  <c r="M29" i="8"/>
  <c r="N29" i="8"/>
  <c r="L41" i="8"/>
  <c r="N41" i="8"/>
  <c r="M10" i="8"/>
  <c r="N10" i="8"/>
  <c r="L10" i="8"/>
  <c r="M9" i="8"/>
  <c r="N9" i="8"/>
  <c r="L9" i="8"/>
  <c r="AC46" i="1"/>
  <c r="E39" i="8"/>
  <c r="F39" i="8"/>
  <c r="D39" i="8"/>
  <c r="G39" i="8"/>
  <c r="G44" i="8" l="1"/>
  <c r="G41" i="8"/>
  <c r="D44" i="8"/>
  <c r="D41" i="8"/>
  <c r="F44" i="8"/>
  <c r="F41" i="8"/>
  <c r="E44" i="8"/>
  <c r="E41" i="8"/>
  <c r="C27" i="4"/>
  <c r="M43" i="8"/>
  <c r="L43" i="8"/>
  <c r="N43" i="8"/>
  <c r="J35" i="1"/>
  <c r="K29" i="8"/>
  <c r="K30" i="8"/>
  <c r="F35" i="1"/>
  <c r="Y35" i="1"/>
  <c r="M21" i="8"/>
  <c r="L35" i="1"/>
  <c r="E35" i="1"/>
  <c r="L22" i="8"/>
  <c r="U26" i="1"/>
  <c r="U35" i="1" s="1"/>
  <c r="Z34" i="1"/>
  <c r="L30" i="8"/>
  <c r="L21" i="8"/>
  <c r="H35" i="1"/>
  <c r="I30" i="8"/>
  <c r="H30" i="8"/>
  <c r="L29" i="8"/>
  <c r="I35" i="1"/>
  <c r="D35" i="1"/>
  <c r="K31" i="8"/>
  <c r="I29" i="8"/>
  <c r="N36" i="8"/>
  <c r="Q34" i="1"/>
  <c r="J31" i="8"/>
  <c r="I31" i="8"/>
  <c r="N23" i="8"/>
  <c r="M23" i="8"/>
  <c r="L31" i="8"/>
  <c r="Q20" i="1"/>
  <c r="Q26" i="1" s="1"/>
  <c r="Q35" i="1" s="1"/>
  <c r="J36" i="8"/>
  <c r="H31" i="8"/>
  <c r="M31" i="8"/>
  <c r="H32" i="5"/>
  <c r="H44" i="5" s="1"/>
  <c r="H46" i="5" s="1"/>
  <c r="G45" i="5" s="1"/>
  <c r="K46" i="5"/>
  <c r="J32" i="5"/>
  <c r="J44" i="5" s="1"/>
  <c r="R24" i="5"/>
  <c r="E44" i="5"/>
  <c r="R21" i="5"/>
  <c r="G46" i="5"/>
  <c r="F45" i="5" s="1"/>
  <c r="F46" i="5" s="1"/>
  <c r="E45" i="5" s="1"/>
  <c r="K27" i="4"/>
  <c r="K29" i="4" s="1"/>
  <c r="K31" i="4" s="1"/>
  <c r="L35" i="8" s="1"/>
  <c r="J22" i="4"/>
  <c r="I34" i="8"/>
  <c r="H34" i="4"/>
  <c r="I40" i="8" s="1"/>
  <c r="H33" i="4"/>
  <c r="E50" i="4"/>
  <c r="E57" i="4"/>
  <c r="E49" i="4"/>
  <c r="E58" i="4"/>
  <c r="E21" i="4"/>
  <c r="N25" i="8"/>
  <c r="M27" i="4"/>
  <c r="M29" i="4" s="1"/>
  <c r="M31" i="4" s="1"/>
  <c r="F57" i="4"/>
  <c r="F49" i="4"/>
  <c r="F58" i="4"/>
  <c r="E54" i="4"/>
  <c r="E66" i="4"/>
  <c r="D64" i="4"/>
  <c r="F66" i="4"/>
  <c r="G66" i="4"/>
  <c r="D66" i="4"/>
  <c r="E68" i="4"/>
  <c r="E61" i="4"/>
  <c r="F68" i="4"/>
  <c r="D68" i="4"/>
  <c r="F61" i="4"/>
  <c r="G68" i="4"/>
  <c r="O16" i="4"/>
  <c r="O17" i="4" s="1"/>
  <c r="E51" i="4"/>
  <c r="N26" i="8"/>
  <c r="D55" i="4"/>
  <c r="L27" i="4"/>
  <c r="L29" i="4" s="1"/>
  <c r="L31" i="4" s="1"/>
  <c r="M25" i="8"/>
  <c r="M36" i="8"/>
  <c r="D53" i="4"/>
  <c r="F48" i="4"/>
  <c r="G64" i="4"/>
  <c r="F53" i="4"/>
  <c r="E64" i="4"/>
  <c r="G13" i="4"/>
  <c r="G63" i="4"/>
  <c r="E55" i="4"/>
  <c r="G56" i="4"/>
  <c r="G49" i="4"/>
  <c r="G57" i="4"/>
  <c r="G54" i="4"/>
  <c r="I27" i="4"/>
  <c r="I29" i="4" s="1"/>
  <c r="I31" i="4" s="1"/>
  <c r="G50" i="4"/>
  <c r="K36" i="8"/>
  <c r="D49" i="4"/>
  <c r="D57" i="4"/>
  <c r="N31" i="8"/>
  <c r="D56" i="4"/>
  <c r="D50" i="4"/>
  <c r="E48" i="4"/>
  <c r="D54" i="4"/>
  <c r="E53" i="4"/>
  <c r="G48" i="4"/>
  <c r="F64" i="4"/>
  <c r="G53" i="4"/>
  <c r="F13" i="4"/>
  <c r="F63" i="4"/>
  <c r="F56" i="4"/>
  <c r="H43" i="8"/>
  <c r="L36" i="8"/>
  <c r="L25" i="8"/>
  <c r="C29" i="4" l="1"/>
  <c r="C65" i="4"/>
  <c r="I35" i="8"/>
  <c r="L11" i="8"/>
  <c r="E46" i="5"/>
  <c r="J27" i="4"/>
  <c r="J29" i="4" s="1"/>
  <c r="J31" i="4" s="1"/>
  <c r="L34" i="8"/>
  <c r="K47" i="5"/>
  <c r="J45" i="5"/>
  <c r="J46" i="5" s="1"/>
  <c r="I45" i="5" s="1"/>
  <c r="I46" i="5" s="1"/>
  <c r="F21" i="4"/>
  <c r="F51" i="4"/>
  <c r="E22" i="4"/>
  <c r="E59" i="4"/>
  <c r="D51" i="4"/>
  <c r="I33" i="4"/>
  <c r="J35" i="8"/>
  <c r="I34" i="4"/>
  <c r="J40" i="8" s="1"/>
  <c r="J34" i="8"/>
  <c r="J33" i="4"/>
  <c r="J34" i="4"/>
  <c r="K40" i="8" s="1"/>
  <c r="K35" i="8"/>
  <c r="K34" i="8"/>
  <c r="M34" i="8"/>
  <c r="M35" i="8"/>
  <c r="M11" i="8"/>
  <c r="G21" i="4"/>
  <c r="G51" i="4"/>
  <c r="I41" i="8"/>
  <c r="I43" i="8"/>
  <c r="N34" i="8"/>
  <c r="N11" i="8"/>
  <c r="N35" i="8"/>
  <c r="C31" i="4" l="1"/>
  <c r="C69" i="4" s="1"/>
  <c r="C67" i="4"/>
  <c r="J41" i="8"/>
  <c r="J43" i="8"/>
  <c r="G22" i="4"/>
  <c r="G59" i="4"/>
  <c r="H36" i="8"/>
  <c r="D59" i="4"/>
  <c r="E60" i="4"/>
  <c r="E27" i="4"/>
  <c r="K43" i="8"/>
  <c r="K41" i="8"/>
  <c r="F22" i="4"/>
  <c r="F59" i="4"/>
  <c r="E65" i="4" l="1"/>
  <c r="E29" i="4"/>
  <c r="D60" i="4"/>
  <c r="G60" i="4"/>
  <c r="G27" i="4"/>
  <c r="F60" i="4"/>
  <c r="F27" i="4"/>
  <c r="F65" i="4" l="1"/>
  <c r="F29" i="4"/>
  <c r="G65" i="4"/>
  <c r="G29" i="4"/>
  <c r="D65" i="4"/>
  <c r="E67" i="4"/>
  <c r="E31" i="4"/>
  <c r="E69" i="4" l="1"/>
  <c r="D67" i="4"/>
  <c r="D31" i="4"/>
  <c r="G67" i="4"/>
  <c r="G31" i="4"/>
  <c r="F31" i="4"/>
  <c r="F67" i="4"/>
  <c r="F69" i="4" l="1"/>
  <c r="G69" i="4"/>
  <c r="H35" i="8"/>
  <c r="H34" i="8"/>
  <c r="D69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<sst xmlns="http://schemas.openxmlformats.org/spreadsheetml/2006/main" count="256" uniqueCount="165">
  <si>
    <t>USD $ in thousands</t>
  </si>
  <si>
    <t>12 months ended</t>
  </si>
  <si>
    <t>10/2/16</t>
  </si>
  <si>
    <t>9/27/15</t>
  </si>
  <si>
    <t>9/28/14</t>
  </si>
  <si>
    <t>Company-operated stores</t>
  </si>
  <si>
    <t>Licensed stores</t>
  </si>
  <si>
    <t>Net revenues</t>
  </si>
  <si>
    <t>Gross profit</t>
  </si>
  <si>
    <t>Store operating expenses</t>
  </si>
  <si>
    <t>Other operating expenses</t>
  </si>
  <si>
    <t>Depreciation and amortization expenses</t>
  </si>
  <si>
    <t>General and administrative expenses</t>
  </si>
  <si>
    <t>Gain on sale of properties</t>
  </si>
  <si>
    <t>Income from equity investees</t>
  </si>
  <si>
    <t>Operating income (loss)</t>
  </si>
  <si>
    <t>Interest income and other, net</t>
  </si>
  <si>
    <t>Interest expense</t>
  </si>
  <si>
    <t>Earnings (loss) before income taxes</t>
  </si>
  <si>
    <t>Income tax (expense) benefit</t>
  </si>
  <si>
    <t>Net earnings including noncontrolling interests</t>
  </si>
  <si>
    <t>Net earnings attributable to Starbucks</t>
  </si>
  <si>
    <t>Cash and cash equivalents</t>
  </si>
  <si>
    <t>Accounts payable</t>
  </si>
  <si>
    <t>Short-term investments</t>
  </si>
  <si>
    <t>Accrued compensation</t>
  </si>
  <si>
    <t>Cash plus short-term investments</t>
  </si>
  <si>
    <t>Accrued occupancy costs</t>
  </si>
  <si>
    <t>Accrued taxes</t>
  </si>
  <si>
    <t>Accounts receivable, net</t>
  </si>
  <si>
    <t>Accrued dividends payable</t>
  </si>
  <si>
    <t>Accrued expenditures</t>
  </si>
  <si>
    <t>Inventories</t>
  </si>
  <si>
    <t>Accrued liabilities</t>
  </si>
  <si>
    <t>Deferred income taxes, net</t>
  </si>
  <si>
    <t>Current assets</t>
  </si>
  <si>
    <t>Current liabilities</t>
  </si>
  <si>
    <t>Long-term investments</t>
  </si>
  <si>
    <t>Long-term debt</t>
  </si>
  <si>
    <t>Equity method investments</t>
  </si>
  <si>
    <t>Other long-term liabilities</t>
  </si>
  <si>
    <t>Cost method investments</t>
  </si>
  <si>
    <t>Noncurrent liabilities</t>
  </si>
  <si>
    <t>Equity and cost investments</t>
  </si>
  <si>
    <t>Total liabilities</t>
  </si>
  <si>
    <t>Property, plant and equipment, net</t>
  </si>
  <si>
    <t>Additional paid-in capital</t>
  </si>
  <si>
    <t>Other long-term assets</t>
  </si>
  <si>
    <t>Other intangible assets</t>
  </si>
  <si>
    <t>Goodwill</t>
  </si>
  <si>
    <t>Noncurrent assets</t>
  </si>
  <si>
    <t>Total equity</t>
  </si>
  <si>
    <t>Total assets</t>
  </si>
  <si>
    <t>Prepaids and other current assets</t>
  </si>
  <si>
    <t>Common stock; $0.001 par</t>
  </si>
  <si>
    <t>Total Liabilities and Equity</t>
  </si>
  <si>
    <t>Depreciation and amortization</t>
  </si>
  <si>
    <t>Stock-based compensation</t>
  </si>
  <si>
    <t>Accounts receivable</t>
  </si>
  <si>
    <t>Other operating assets and liabilities</t>
  </si>
  <si>
    <t>Purchase of investments</t>
  </si>
  <si>
    <t>Sales of investments</t>
  </si>
  <si>
    <t>Acquisitions, net of cash acquired</t>
  </si>
  <si>
    <t>Additions to property, plant and equipment</t>
  </si>
  <si>
    <t>Other</t>
  </si>
  <si>
    <t>Net cash used by investing activities</t>
  </si>
  <si>
    <t>Proceeds from issuance of long-term debt</t>
  </si>
  <si>
    <t>Repayments of long-term debt</t>
  </si>
  <si>
    <t>Proceeds from issuance of common stock</t>
  </si>
  <si>
    <t>Excess tax benefit on share-based awards</t>
  </si>
  <si>
    <t>Cash dividends paid</t>
  </si>
  <si>
    <t>Repurchase of common stock</t>
  </si>
  <si>
    <t>Minimum tax withholdings on share-based awards</t>
  </si>
  <si>
    <t>Net cash used by financing activities</t>
  </si>
  <si>
    <t>Effect of exchange rate changes on cash and cash equivalents</t>
  </si>
  <si>
    <t>Net increase (decrease) in cash and cash equivalents</t>
  </si>
  <si>
    <t>Cash and cash equivalents, beginning of period</t>
  </si>
  <si>
    <t>Cash and cash equivalents, end of period</t>
  </si>
  <si>
    <t>Cash Flow From Operations</t>
  </si>
  <si>
    <t>FREE CASH FLOW</t>
  </si>
  <si>
    <t>Noncontrolling interests</t>
  </si>
  <si>
    <t>B</t>
  </si>
  <si>
    <t>PROFITABILITY</t>
  </si>
  <si>
    <t>Gross Profit Margin</t>
  </si>
  <si>
    <t>Operating Profit Margin</t>
  </si>
  <si>
    <t>Net Profit Margin</t>
  </si>
  <si>
    <t>EFFICIENCY</t>
  </si>
  <si>
    <t>LEVERAGE</t>
  </si>
  <si>
    <t>Debt/Equity</t>
  </si>
  <si>
    <t>LTD/Total Capital</t>
  </si>
  <si>
    <t>Debt/Total Capital</t>
  </si>
  <si>
    <t>Times Interest Earned</t>
  </si>
  <si>
    <t>Fixed Charge Coverage</t>
  </si>
  <si>
    <t>Liquidity</t>
  </si>
  <si>
    <t>Current Ratio</t>
  </si>
  <si>
    <t>Quick Ratio</t>
  </si>
  <si>
    <t>Returns</t>
  </si>
  <si>
    <t>Market Measures</t>
  </si>
  <si>
    <t>P/E</t>
  </si>
  <si>
    <t>Dividend Payout</t>
  </si>
  <si>
    <t>Dividend Yield</t>
  </si>
  <si>
    <t>Cash Conversion Cycle</t>
  </si>
  <si>
    <t>–</t>
  </si>
  <si>
    <t>Earnings per share — basic</t>
  </si>
  <si>
    <t>Earnings per share — diluted</t>
  </si>
  <si>
    <t>Weighted average shares outstanding:</t>
  </si>
  <si>
    <t>Basic</t>
  </si>
  <si>
    <t>Diluted</t>
  </si>
  <si>
    <t>EPS - Fully Diluted</t>
  </si>
  <si>
    <t>Price Per share (last day of the year)</t>
  </si>
  <si>
    <t>Dividend (annual)</t>
  </si>
  <si>
    <t>Operating Lease Expense</t>
  </si>
  <si>
    <t>10/1/17</t>
  </si>
  <si>
    <t>Litigation (charge) credit and Restructuring Costs</t>
  </si>
  <si>
    <t>9/30/18</t>
  </si>
  <si>
    <t>Deferred Revenue</t>
  </si>
  <si>
    <t>Gain from Acquisition of joint venture</t>
  </si>
  <si>
    <t>Stored value card liability (Deferred Revenue)</t>
  </si>
  <si>
    <t>G&amp;A</t>
  </si>
  <si>
    <t>Selling</t>
  </si>
  <si>
    <t>Deprec</t>
  </si>
  <si>
    <t>Total Working Capital</t>
  </si>
  <si>
    <t>Gain from joint venture and other</t>
  </si>
  <si>
    <t>9/29/19</t>
  </si>
  <si>
    <t xml:space="preserve">Gain from divestiture </t>
  </si>
  <si>
    <t>Earnings (loss) from noncontrolling interests</t>
  </si>
  <si>
    <t>Stored value card &amp; Insurance</t>
  </si>
  <si>
    <t>Prepaid Expenses and other</t>
  </si>
  <si>
    <t>Income Taxes Payable</t>
  </si>
  <si>
    <t>Equity Method Income Net of Receipts</t>
  </si>
  <si>
    <t>Operating Lease Liability</t>
  </si>
  <si>
    <t>9/27/20</t>
  </si>
  <si>
    <t>Operating Lease, right-of-use asset</t>
  </si>
  <si>
    <t>C.P. of operating lease liab.</t>
  </si>
  <si>
    <t>Non-cash lease cost</t>
  </si>
  <si>
    <t>Net increase (decrease) in short term debt</t>
  </si>
  <si>
    <t>Product and distribution costs</t>
  </si>
  <si>
    <t>9/30/21</t>
  </si>
  <si>
    <t>9/29/22</t>
  </si>
  <si>
    <t>Short-Term Debt plus CPLTD</t>
  </si>
  <si>
    <t>Retained earnings/(deficit)</t>
  </si>
  <si>
    <t>Accum. other compr. Inc.</t>
  </si>
  <si>
    <t xml:space="preserve">  </t>
  </si>
  <si>
    <t>Other Non-Cash Gain/Loss</t>
  </si>
  <si>
    <t>10/02/22</t>
  </si>
  <si>
    <t>10/03/21</t>
  </si>
  <si>
    <t>Total Starbucks Shareholders'Equty</t>
  </si>
  <si>
    <t>Starbucks Corporation</t>
  </si>
  <si>
    <t>Consolidated Statement of Financial Position</t>
  </si>
  <si>
    <t>Starbucks Corpporation</t>
  </si>
  <si>
    <t>Consolidated Income Statement</t>
  </si>
  <si>
    <t>Consolidated Statement of Cash Flows</t>
  </si>
  <si>
    <t>Ratio Analysis</t>
  </si>
  <si>
    <t>Inventory DOH (not ave.)</t>
  </si>
  <si>
    <t>A/P DOH (not ave.)</t>
  </si>
  <si>
    <t>Debt/EBITDA (not ave.)</t>
  </si>
  <si>
    <t>Return on Equity (not ave.)</t>
  </si>
  <si>
    <t>Return on Assets (not ave.)</t>
  </si>
  <si>
    <t>Return on Capital (not ave.)</t>
  </si>
  <si>
    <t>A/R DOH (not ave.)</t>
  </si>
  <si>
    <t>Total Asset Turnover (not ave.)</t>
  </si>
  <si>
    <t>Fixed Asset Turnover (not ave.)</t>
  </si>
  <si>
    <t>10/1/23</t>
  </si>
  <si>
    <t>EBITDA (without adjustments)</t>
  </si>
  <si>
    <t>9/29/24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</si>
</sst>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 d\,\ yyyy"/>
    <numFmt numFmtId="165" formatCode="_(&quot;$&quot;* #,##0_);_(&quot;$&quot;* \(#,##0\);_(&quot;$&quot;* &quot;-&quot;??_);_(@_)"/>
    <numFmt numFmtId="166" formatCode="_(* #,##0_);_(* \(#,##0\);_(* &quot;-&quot;??_);_(@_)"/>
    <numFmt numFmtId="167" formatCode="_(* #,##0.000_);_(* \(#,##0.000\);_(* &quot;-&quot;??_);_(@_)"/>
    <numFmt numFmtId="168" formatCode="0.0"/>
    <numFmt numFmtId="169" formatCode="0.0%"/>
    <numFmt numFmtId="170" formatCode="#,##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606631"/>
      <name val="Tahoma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333333"/>
      <name val="Tahoma"/>
      <family val="2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60663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606631"/>
      <name val="Arial"/>
      <family val="2"/>
    </font>
    <font>
      <sz val="11"/>
      <color rgb="FF606631"/>
      <name val="Arial"/>
      <family val="2"/>
    </font>
    <font>
      <b/>
      <sz val="12"/>
      <color rgb="FF606631"/>
      <name val="Arial"/>
      <family val="2"/>
    </font>
    <font>
      <b/>
      <sz val="12"/>
      <color rgb="FF606631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60663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rgb="FFDDDDDD"/>
      </top>
      <bottom style="double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06631"/>
      </left>
      <right/>
      <top style="medium">
        <color rgb="FF606631"/>
      </top>
      <bottom style="medium">
        <color rgb="FF606631"/>
      </bottom>
      <diagonal/>
    </border>
    <border>
      <left/>
      <right style="medium">
        <color rgb="FF606631"/>
      </right>
      <top style="medium">
        <color rgb="FF606631"/>
      </top>
      <bottom style="medium">
        <color rgb="FF60663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DDDDDD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>
      <alignment vertical="top"/>
    </xf>
    <xf numFmtId="9" fontId="1" fillId="0" borderId="0" applyFont="0" applyFill="0" applyBorder="0" applyAlignment="0" applyProtection="0"/>
  </cellStyleXfs>
  <cellXfs count="19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right" vertical="center" wrapText="1"/>
    </xf>
    <xf numFmtId="164" fontId="3" fillId="0" borderId="1" xfId="0" quotePrefix="1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3" fontId="4" fillId="0" borderId="0" xfId="0" applyNumberFormat="1" applyFont="1" applyAlignment="1">
      <alignment horizontal="right"/>
    </xf>
    <xf numFmtId="0" fontId="3" fillId="0" borderId="0" xfId="0" applyFont="1" applyAlignment="1">
      <alignment horizontal="left" wrapText="1"/>
    </xf>
    <xf numFmtId="3" fontId="3" fillId="0" borderId="2" xfId="0" applyNumberFormat="1" applyFont="1" applyBorder="1" applyAlignment="1">
      <alignment horizontal="right"/>
    </xf>
    <xf numFmtId="0" fontId="5" fillId="0" borderId="2" xfId="0" applyFont="1" applyBorder="1"/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3" fontId="4" fillId="0" borderId="3" xfId="0" applyNumberFormat="1" applyFont="1" applyBorder="1"/>
    <xf numFmtId="3" fontId="3" fillId="0" borderId="0" xfId="0" applyNumberFormat="1" applyFont="1" applyAlignment="1">
      <alignment horizontal="right"/>
    </xf>
    <xf numFmtId="165" fontId="4" fillId="0" borderId="0" xfId="2" applyNumberFormat="1" applyFont="1"/>
    <xf numFmtId="166" fontId="4" fillId="0" borderId="0" xfId="1" applyNumberFormat="1" applyFont="1"/>
    <xf numFmtId="166" fontId="4" fillId="0" borderId="0" xfId="1" applyNumberFormat="1" applyFont="1" applyAlignment="1">
      <alignment horizontal="right"/>
    </xf>
    <xf numFmtId="166" fontId="4" fillId="0" borderId="5" xfId="1" applyNumberFormat="1" applyFont="1" applyBorder="1"/>
    <xf numFmtId="166" fontId="3" fillId="0" borderId="0" xfId="1" applyNumberFormat="1" applyFont="1" applyBorder="1" applyAlignment="1">
      <alignment horizontal="right"/>
    </xf>
    <xf numFmtId="166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166" fontId="0" fillId="0" borderId="0" xfId="1" applyNumberFormat="1" applyFont="1"/>
    <xf numFmtId="0" fontId="7" fillId="2" borderId="0" xfId="0" applyFont="1" applyFill="1"/>
    <xf numFmtId="0" fontId="8" fillId="3" borderId="0" xfId="0" applyFont="1" applyFill="1" applyAlignment="1">
      <alignment horizontal="center"/>
    </xf>
    <xf numFmtId="0" fontId="0" fillId="0" borderId="8" xfId="0" applyBorder="1"/>
    <xf numFmtId="167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3" fontId="9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left" wrapText="1"/>
    </xf>
    <xf numFmtId="3" fontId="12" fillId="4" borderId="2" xfId="0" applyNumberFormat="1" applyFont="1" applyFill="1" applyBorder="1" applyAlignment="1">
      <alignment horizontal="right"/>
    </xf>
    <xf numFmtId="3" fontId="13" fillId="0" borderId="0" xfId="0" applyNumberFormat="1" applyFont="1" applyAlignment="1">
      <alignment horizontal="right"/>
    </xf>
    <xf numFmtId="3" fontId="12" fillId="4" borderId="0" xfId="0" applyNumberFormat="1" applyFont="1" applyFill="1" applyAlignment="1">
      <alignment horizontal="right"/>
    </xf>
    <xf numFmtId="3" fontId="12" fillId="4" borderId="4" xfId="0" applyNumberFormat="1" applyFont="1" applyFill="1" applyBorder="1" applyAlignment="1">
      <alignment horizontal="right"/>
    </xf>
    <xf numFmtId="166" fontId="13" fillId="4" borderId="6" xfId="1" applyNumberFormat="1" applyFont="1" applyFill="1" applyBorder="1"/>
    <xf numFmtId="0" fontId="14" fillId="4" borderId="0" xfId="0" applyFont="1" applyFill="1" applyAlignment="1">
      <alignment horizontal="left" wrapText="1"/>
    </xf>
    <xf numFmtId="166" fontId="15" fillId="4" borderId="0" xfId="0" applyNumberFormat="1" applyFont="1" applyFill="1"/>
    <xf numFmtId="166" fontId="13" fillId="4" borderId="0" xfId="1" applyNumberFormat="1" applyFont="1" applyFill="1"/>
    <xf numFmtId="166" fontId="10" fillId="4" borderId="7" xfId="0" applyNumberFormat="1" applyFont="1" applyFill="1" applyBorder="1"/>
    <xf numFmtId="0" fontId="3" fillId="4" borderId="0" xfId="0" applyFont="1" applyFill="1" applyAlignment="1">
      <alignment horizontal="left" wrapText="1"/>
    </xf>
    <xf numFmtId="3" fontId="3" fillId="4" borderId="2" xfId="0" applyNumberFormat="1" applyFont="1" applyFill="1" applyBorder="1" applyAlignment="1">
      <alignment horizontal="right"/>
    </xf>
    <xf numFmtId="10" fontId="0" fillId="0" borderId="0" xfId="4" applyNumberFormat="1" applyFont="1"/>
    <xf numFmtId="168" fontId="0" fillId="0" borderId="0" xfId="0" applyNumberFormat="1"/>
    <xf numFmtId="2" fontId="0" fillId="0" borderId="0" xfId="0" applyNumberFormat="1"/>
    <xf numFmtId="9" fontId="0" fillId="0" borderId="0" xfId="4" applyFont="1"/>
    <xf numFmtId="169" fontId="0" fillId="0" borderId="0" xfId="4" applyNumberFormat="1" applyFont="1"/>
    <xf numFmtId="0" fontId="16" fillId="0" borderId="2" xfId="0" applyFont="1" applyBorder="1" applyAlignment="1">
      <alignment horizontal="left"/>
    </xf>
    <xf numFmtId="44" fontId="4" fillId="0" borderId="0" xfId="2" applyFont="1" applyAlignment="1">
      <alignment horizontal="right"/>
    </xf>
    <xf numFmtId="44" fontId="0" fillId="0" borderId="0" xfId="2" applyFont="1"/>
    <xf numFmtId="0" fontId="17" fillId="0" borderId="0" xfId="0" applyFont="1"/>
    <xf numFmtId="4" fontId="17" fillId="0" borderId="0" xfId="0" applyNumberFormat="1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4" fontId="17" fillId="0" borderId="0" xfId="2" applyFont="1" applyAlignment="1">
      <alignment horizontal="right"/>
    </xf>
    <xf numFmtId="170" fontId="17" fillId="0" borderId="0" xfId="0" applyNumberFormat="1" applyFont="1" applyAlignment="1">
      <alignment horizontal="right"/>
    </xf>
    <xf numFmtId="44" fontId="0" fillId="0" borderId="0" xfId="0" applyNumberFormat="1"/>
    <xf numFmtId="0" fontId="19" fillId="0" borderId="0" xfId="0" applyFont="1"/>
    <xf numFmtId="44" fontId="16" fillId="0" borderId="0" xfId="2" applyFont="1" applyBorder="1" applyAlignment="1">
      <alignment horizontal="left"/>
    </xf>
    <xf numFmtId="44" fontId="4" fillId="0" borderId="0" xfId="2" applyFont="1" applyAlignment="1">
      <alignment horizontal="left" wrapText="1"/>
    </xf>
    <xf numFmtId="3" fontId="17" fillId="0" borderId="0" xfId="0" applyNumberFormat="1" applyFont="1"/>
    <xf numFmtId="166" fontId="4" fillId="0" borderId="0" xfId="1" applyNumberFormat="1" applyFont="1" applyAlignment="1">
      <alignment horizontal="left" wrapText="1"/>
    </xf>
    <xf numFmtId="166" fontId="4" fillId="0" borderId="11" xfId="1" applyNumberFormat="1" applyFont="1" applyBorder="1" applyAlignment="1">
      <alignment horizontal="left" wrapText="1"/>
    </xf>
    <xf numFmtId="166" fontId="3" fillId="0" borderId="0" xfId="1" applyNumberFormat="1" applyFont="1" applyAlignment="1">
      <alignment horizontal="left" wrapText="1"/>
    </xf>
    <xf numFmtId="166" fontId="4" fillId="0" borderId="0" xfId="1" applyNumberFormat="1" applyFont="1" applyBorder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10" fillId="4" borderId="0" xfId="0" applyFont="1" applyFill="1" applyAlignment="1">
      <alignment horizontal="center"/>
    </xf>
    <xf numFmtId="3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left" wrapText="1"/>
    </xf>
    <xf numFmtId="3" fontId="4" fillId="0" borderId="0" xfId="0" applyNumberFormat="1" applyFont="1"/>
    <xf numFmtId="166" fontId="12" fillId="4" borderId="2" xfId="1" applyNumberFormat="1" applyFont="1" applyFill="1" applyBorder="1" applyAlignment="1">
      <alignment horizontal="right"/>
    </xf>
    <xf numFmtId="166" fontId="12" fillId="4" borderId="4" xfId="1" applyNumberFormat="1" applyFont="1" applyFill="1" applyBorder="1" applyAlignment="1">
      <alignment horizontal="right"/>
    </xf>
    <xf numFmtId="166" fontId="15" fillId="4" borderId="0" xfId="1" applyNumberFormat="1" applyFont="1" applyFill="1"/>
    <xf numFmtId="166" fontId="10" fillId="4" borderId="7" xfId="1" applyNumberFormat="1" applyFont="1" applyFill="1" applyBorder="1"/>
    <xf numFmtId="166" fontId="12" fillId="4" borderId="6" xfId="1" applyNumberFormat="1" applyFont="1" applyFill="1" applyBorder="1"/>
    <xf numFmtId="166" fontId="4" fillId="0" borderId="0" xfId="1" applyNumberFormat="1" applyFont="1" applyFill="1" applyAlignment="1">
      <alignment horizontal="left" wrapText="1"/>
    </xf>
    <xf numFmtId="10" fontId="0" fillId="0" borderId="0" xfId="4" applyNumberFormat="1" applyFont="1" applyFill="1"/>
    <xf numFmtId="169" fontId="0" fillId="0" borderId="0" xfId="4" applyNumberFormat="1" applyFont="1" applyFill="1"/>
    <xf numFmtId="9" fontId="0" fillId="0" borderId="0" xfId="4" applyFont="1" applyFill="1"/>
    <xf numFmtId="0" fontId="0" fillId="4" borderId="0" xfId="0" applyFill="1"/>
    <xf numFmtId="0" fontId="12" fillId="0" borderId="0" xfId="0" applyFont="1" applyAlignment="1">
      <alignment horizontal="left" wrapText="1"/>
    </xf>
    <xf numFmtId="166" fontId="12" fillId="0" borderId="0" xfId="1" applyNumberFormat="1" applyFont="1" applyFill="1" applyAlignment="1">
      <alignment horizontal="left" wrapText="1"/>
    </xf>
    <xf numFmtId="3" fontId="12" fillId="0" borderId="2" xfId="0" applyNumberFormat="1" applyFont="1" applyBorder="1" applyAlignment="1">
      <alignment horizontal="right"/>
    </xf>
    <xf numFmtId="166" fontId="2" fillId="0" borderId="0" xfId="1" applyNumberFormat="1" applyFont="1"/>
    <xf numFmtId="166" fontId="3" fillId="0" borderId="1" xfId="1" quotePrefix="1" applyNumberFormat="1" applyFont="1" applyBorder="1" applyAlignment="1">
      <alignment horizontal="center" vertical="center"/>
    </xf>
    <xf numFmtId="166" fontId="18" fillId="0" borderId="0" xfId="1" applyNumberFormat="1" applyFont="1" applyFill="1" applyAlignment="1">
      <alignment horizontal="left" wrapText="1"/>
    </xf>
    <xf numFmtId="166" fontId="17" fillId="0" borderId="0" xfId="1" applyNumberFormat="1" applyFont="1"/>
    <xf numFmtId="166" fontId="18" fillId="0" borderId="0" xfId="1" applyNumberFormat="1" applyFont="1" applyAlignment="1">
      <alignment horizontal="center"/>
    </xf>
    <xf numFmtId="166" fontId="17" fillId="0" borderId="0" xfId="1" applyNumberFormat="1" applyFont="1" applyAlignment="1">
      <alignment horizontal="center"/>
    </xf>
    <xf numFmtId="166" fontId="0" fillId="2" borderId="0" xfId="1" applyNumberFormat="1" applyFont="1" applyFill="1"/>
    <xf numFmtId="166" fontId="7" fillId="2" borderId="0" xfId="1" applyNumberFormat="1" applyFont="1" applyFill="1"/>
    <xf numFmtId="37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43" fontId="4" fillId="0" borderId="0" xfId="1" applyFont="1" applyAlignment="1">
      <alignment horizontal="left" wrapText="1"/>
    </xf>
    <xf numFmtId="166" fontId="18" fillId="0" borderId="0" xfId="1" applyNumberFormat="1" applyFont="1" applyAlignment="1">
      <alignment horizontal="right"/>
    </xf>
    <xf numFmtId="166" fontId="17" fillId="0" borderId="0" xfId="1" applyNumberFormat="1" applyFont="1" applyAlignment="1">
      <alignment horizontal="right"/>
    </xf>
    <xf numFmtId="43" fontId="4" fillId="0" borderId="0" xfId="0" applyNumberFormat="1" applyFont="1" applyAlignment="1">
      <alignment horizontal="right" wrapText="1"/>
    </xf>
    <xf numFmtId="37" fontId="3" fillId="0" borderId="1" xfId="1" quotePrefix="1" applyNumberFormat="1" applyFont="1" applyBorder="1" applyAlignment="1">
      <alignment horizontal="center" vertical="center"/>
    </xf>
    <xf numFmtId="37" fontId="0" fillId="0" borderId="0" xfId="1" applyNumberFormat="1" applyFont="1" applyAlignment="1">
      <alignment horizontal="right"/>
    </xf>
    <xf numFmtId="37" fontId="5" fillId="0" borderId="2" xfId="1" applyNumberFormat="1" applyFont="1" applyBorder="1" applyAlignment="1">
      <alignment horizontal="right"/>
    </xf>
    <xf numFmtId="37" fontId="8" fillId="3" borderId="0" xfId="1" applyNumberFormat="1" applyFont="1" applyFill="1" applyAlignment="1">
      <alignment horizontal="right"/>
    </xf>
    <xf numFmtId="37" fontId="0" fillId="0" borderId="0" xfId="1" applyNumberFormat="1" applyFont="1" applyBorder="1" applyAlignment="1">
      <alignment horizontal="right"/>
    </xf>
    <xf numFmtId="170" fontId="12" fillId="4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right" wrapText="1"/>
    </xf>
    <xf numFmtId="170" fontId="3" fillId="4" borderId="2" xfId="0" applyNumberFormat="1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43" fontId="18" fillId="0" borderId="0" xfId="1" applyFont="1" applyAlignment="1">
      <alignment horizontal="center"/>
    </xf>
    <xf numFmtId="43" fontId="17" fillId="0" borderId="0" xfId="1" applyFont="1" applyAlignment="1">
      <alignment horizontal="center"/>
    </xf>
    <xf numFmtId="43" fontId="0" fillId="0" borderId="0" xfId="1" applyFont="1"/>
    <xf numFmtId="43" fontId="3" fillId="0" borderId="0" xfId="1" applyFont="1" applyAlignment="1">
      <alignment horizontal="left" wrapText="1"/>
    </xf>
    <xf numFmtId="43" fontId="12" fillId="4" borderId="2" xfId="1" applyFont="1" applyFill="1" applyBorder="1" applyAlignment="1">
      <alignment horizontal="right"/>
    </xf>
    <xf numFmtId="43" fontId="4" fillId="0" borderId="0" xfId="1" applyFont="1" applyBorder="1"/>
    <xf numFmtId="43" fontId="4" fillId="0" borderId="0" xfId="1" applyFont="1" applyBorder="1" applyAlignment="1">
      <alignment horizontal="left" wrapText="1"/>
    </xf>
    <xf numFmtId="4" fontId="12" fillId="4" borderId="4" xfId="0" applyNumberFormat="1" applyFont="1" applyFill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43" fontId="12" fillId="4" borderId="4" xfId="1" applyFont="1" applyFill="1" applyBorder="1" applyAlignment="1">
      <alignment horizontal="right"/>
    </xf>
    <xf numFmtId="43" fontId="12" fillId="4" borderId="6" xfId="1" applyFont="1" applyFill="1" applyBorder="1"/>
    <xf numFmtId="43" fontId="13" fillId="4" borderId="6" xfId="1" applyFont="1" applyFill="1" applyBorder="1"/>
    <xf numFmtId="43" fontId="15" fillId="4" borderId="0" xfId="1" applyFont="1" applyFill="1"/>
    <xf numFmtId="43" fontId="17" fillId="0" borderId="0" xfId="1" applyFont="1"/>
    <xf numFmtId="43" fontId="13" fillId="4" borderId="0" xfId="1" applyFont="1" applyFill="1"/>
    <xf numFmtId="43" fontId="10" fillId="4" borderId="7" xfId="1" applyFont="1" applyFill="1" applyBorder="1"/>
    <xf numFmtId="43" fontId="18" fillId="0" borderId="0" xfId="1" applyFont="1" applyAlignment="1">
      <alignment horizontal="left" wrapText="1"/>
    </xf>
    <xf numFmtId="43" fontId="16" fillId="0" borderId="0" xfId="1" applyFont="1" applyBorder="1" applyAlignment="1">
      <alignment horizontal="left"/>
    </xf>
    <xf numFmtId="0" fontId="3" fillId="4" borderId="0" xfId="0" applyFont="1" applyFill="1"/>
    <xf numFmtId="170" fontId="12" fillId="4" borderId="7" xfId="0" applyNumberFormat="1" applyFont="1" applyFill="1" applyBorder="1" applyAlignment="1">
      <alignment horizontal="right"/>
    </xf>
    <xf numFmtId="3" fontId="12" fillId="4" borderId="7" xfId="0" applyNumberFormat="1" applyFont="1" applyFill="1" applyBorder="1" applyAlignment="1">
      <alignment horizontal="right"/>
    </xf>
    <xf numFmtId="43" fontId="4" fillId="0" borderId="11" xfId="1" applyFont="1" applyBorder="1" applyAlignment="1">
      <alignment horizontal="left" wrapText="1"/>
    </xf>
    <xf numFmtId="43" fontId="12" fillId="0" borderId="0" xfId="1" applyFont="1" applyAlignment="1">
      <alignment horizontal="left" wrapText="1"/>
    </xf>
    <xf numFmtId="43" fontId="3" fillId="0" borderId="0" xfId="1" applyFont="1"/>
    <xf numFmtId="166" fontId="3" fillId="0" borderId="0" xfId="1" applyNumberFormat="1" applyFont="1"/>
    <xf numFmtId="0" fontId="21" fillId="0" borderId="0" xfId="0" applyFont="1"/>
    <xf numFmtId="44" fontId="0" fillId="0" borderId="0" xfId="2" applyFont="1" applyFill="1"/>
    <xf numFmtId="10" fontId="22" fillId="0" borderId="0" xfId="4" applyNumberFormat="1" applyFont="1" applyFill="1"/>
    <xf numFmtId="2" fontId="22" fillId="0" borderId="0" xfId="4" applyNumberFormat="1" applyFont="1" applyFill="1"/>
    <xf numFmtId="43" fontId="4" fillId="0" borderId="0" xfId="1" applyFont="1" applyAlignment="1">
      <alignment horizontal="right"/>
    </xf>
    <xf numFmtId="4" fontId="4" fillId="0" borderId="0" xfId="1" applyNumberFormat="1" applyFont="1" applyAlignment="1">
      <alignment horizontal="right" wrapText="1"/>
    </xf>
    <xf numFmtId="0" fontId="2" fillId="0" borderId="0" xfId="0" applyFont="1" applyAlignment="1">
      <alignment vertical="center"/>
    </xf>
    <xf numFmtId="43" fontId="4" fillId="0" borderId="0" xfId="1" applyFont="1" applyFill="1" applyAlignment="1">
      <alignment horizontal="left" wrapText="1"/>
    </xf>
    <xf numFmtId="0" fontId="24" fillId="0" borderId="0" xfId="0" applyFont="1"/>
    <xf numFmtId="170" fontId="24" fillId="0" borderId="0" xfId="0" applyNumberFormat="1" applyFont="1"/>
    <xf numFmtId="3" fontId="24" fillId="0" borderId="0" xfId="0" applyNumberFormat="1" applyFont="1"/>
    <xf numFmtId="165" fontId="25" fillId="0" borderId="0" xfId="2" applyNumberFormat="1" applyFont="1"/>
    <xf numFmtId="0" fontId="24" fillId="0" borderId="12" xfId="0" applyFont="1" applyBorder="1" applyAlignment="1">
      <alignment horizontal="center"/>
    </xf>
    <xf numFmtId="164" fontId="26" fillId="0" borderId="1" xfId="0" quotePrefix="1" applyNumberFormat="1" applyFont="1" applyBorder="1" applyAlignment="1">
      <alignment horizontal="center" vertical="center"/>
    </xf>
    <xf numFmtId="166" fontId="24" fillId="0" borderId="0" xfId="0" applyNumberFormat="1" applyFont="1"/>
    <xf numFmtId="2" fontId="24" fillId="0" borderId="0" xfId="4" applyNumberFormat="1" applyFont="1" applyFill="1"/>
    <xf numFmtId="169" fontId="24" fillId="0" borderId="0" xfId="4" applyNumberFormat="1" applyFont="1" applyFill="1"/>
    <xf numFmtId="0" fontId="27" fillId="0" borderId="0" xfId="0" applyFont="1" applyAlignment="1">
      <alignment horizontal="center" vertical="center"/>
    </xf>
    <xf numFmtId="166" fontId="24" fillId="0" borderId="0" xfId="1" applyNumberFormat="1" applyFont="1" applyAlignment="1">
      <alignment horizontal="center" vertical="center"/>
    </xf>
    <xf numFmtId="168" fontId="11" fillId="0" borderId="0" xfId="0" applyNumberFormat="1" applyFont="1"/>
    <xf numFmtId="2" fontId="4" fillId="0" borderId="0" xfId="0" applyNumberFormat="1" applyFont="1" applyAlignment="1">
      <alignment horizontal="right" wrapText="1"/>
    </xf>
    <xf numFmtId="2" fontId="16" fillId="0" borderId="0" xfId="0" applyNumberFormat="1" applyFont="1" applyAlignment="1">
      <alignment horizontal="right"/>
    </xf>
    <xf numFmtId="2" fontId="17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21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43" fontId="4" fillId="0" borderId="0" xfId="0" applyNumberFormat="1" applyFont="1" applyAlignment="1">
      <alignment horizontal="center" wrapText="1"/>
    </xf>
    <xf numFmtId="43" fontId="0" fillId="0" borderId="0" xfId="0" applyNumberFormat="1" applyAlignment="1">
      <alignment horizontal="center"/>
    </xf>
    <xf numFmtId="43" fontId="12" fillId="0" borderId="0" xfId="0" applyNumberFormat="1" applyFont="1" applyAlignment="1">
      <alignment horizontal="center" wrapText="1"/>
    </xf>
    <xf numFmtId="43" fontId="0" fillId="0" borderId="0" xfId="0" applyNumberFormat="1"/>
    <xf numFmtId="43" fontId="4" fillId="0" borderId="11" xfId="0" applyNumberFormat="1" applyFont="1" applyBorder="1" applyAlignment="1">
      <alignment horizontal="center" wrapText="1"/>
    </xf>
    <xf numFmtId="43" fontId="3" fillId="0" borderId="0" xfId="0" applyNumberFormat="1" applyFont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22" fillId="0" borderId="0" xfId="0" applyFont="1"/>
    <xf numFmtId="0" fontId="29" fillId="0" borderId="0" xfId="0" applyFont="1" applyAlignment="1">
      <alignment horizontal="center" vertical="center"/>
    </xf>
    <xf numFmtId="43" fontId="22" fillId="0" borderId="0" xfId="1" applyFont="1"/>
    <xf numFmtId="166" fontId="22" fillId="0" borderId="0" xfId="1" applyNumberFormat="1" applyFont="1"/>
    <xf numFmtId="166" fontId="22" fillId="0" borderId="0" xfId="1" applyNumberFormat="1" applyFont="1" applyAlignment="1">
      <alignment horizontal="center" vertical="center"/>
    </xf>
    <xf numFmtId="0" fontId="29" fillId="0" borderId="0" xfId="0" applyFont="1"/>
    <xf numFmtId="10" fontId="4" fillId="0" borderId="0" xfId="1" applyNumberFormat="1" applyFont="1" applyAlignment="1">
      <alignment horizontal="left" wrapText="1"/>
    </xf>
    <xf numFmtId="9" fontId="4" fillId="0" borderId="0" xfId="1" applyNumberFormat="1" applyFont="1" applyAlignment="1">
      <alignment horizontal="left" wrapText="1"/>
    </xf>
    <xf numFmtId="9" fontId="17" fillId="0" borderId="0" xfId="0" applyNumberFormat="1" applyFont="1"/>
    <xf numFmtId="10" fontId="4" fillId="4" borderId="0" xfId="1" applyNumberFormat="1" applyFont="1" applyFill="1" applyAlignment="1">
      <alignment horizontal="center" wrapText="1"/>
    </xf>
    <xf numFmtId="10" fontId="4" fillId="0" borderId="0" xfId="1" applyNumberFormat="1" applyFont="1" applyFill="1" applyAlignment="1">
      <alignment horizontal="center" wrapText="1"/>
    </xf>
    <xf numFmtId="10" fontId="4" fillId="0" borderId="0" xfId="1" applyNumberFormat="1" applyFont="1" applyAlignment="1">
      <alignment horizontal="center" wrapText="1"/>
    </xf>
    <xf numFmtId="10" fontId="4" fillId="4" borderId="13" xfId="1" applyNumberFormat="1" applyFont="1" applyFill="1" applyBorder="1" applyAlignment="1">
      <alignment horizontal="center" wrapText="1"/>
    </xf>
    <xf numFmtId="10" fontId="4" fillId="4" borderId="7" xfId="1" applyNumberFormat="1" applyFont="1" applyFill="1" applyBorder="1" applyAlignment="1">
      <alignment horizontal="center" wrapText="1"/>
    </xf>
    <xf numFmtId="43" fontId="0" fillId="0" borderId="0" xfId="1" applyFont="1" applyFill="1"/>
    <xf numFmtId="0" fontId="16" fillId="0" borderId="0" xfId="0" applyFont="1" applyAlignment="1">
      <alignment horizontal="left"/>
    </xf>
    <xf numFmtId="43" fontId="18" fillId="0" borderId="0" xfId="1" applyFont="1" applyAlignment="1">
      <alignment horizontal="right"/>
    </xf>
    <xf numFmtId="43" fontId="17" fillId="0" borderId="0" xfId="1" applyFont="1" applyAlignment="1">
      <alignment horizontal="right"/>
    </xf>
    <xf numFmtId="43" fontId="3" fillId="0" borderId="0" xfId="0" applyNumberFormat="1" applyFont="1" applyAlignment="1">
      <alignment horizontal="left" wrapText="1"/>
    </xf>
    <xf numFmtId="43" fontId="12" fillId="4" borderId="2" xfId="0" applyNumberFormat="1" applyFont="1" applyFill="1" applyBorder="1" applyAlignment="1">
      <alignment horizontal="right"/>
    </xf>
    <xf numFmtId="0" fontId="0" fillId="5" borderId="0" xfId="0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Percent" xfId="4" builtinId="5"/>
  </cellStyles>
  <dxfs count="0"/>
  <tableStyles count="0" defaultTableStyle="TableStyleMedium2" defaultPivotStyle="PivotStyleLight16"/>
  <colors>
    <mruColors>
      <color rgb="FF606631"/>
      <color rgb="FFF79646"/>
      <color rgb="FF663300"/>
      <color rgb="FFFF33CC"/>
      <color rgb="FF000099"/>
      <color rgb="FFFF3399"/>
      <color rgb="FFF732A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>
    <v t="i">0</v>
  </a>
  <a r="1">
    <v>90.58</v>
  </a>
  <a r="1">
    <v>96.01</v>
  </a>
  <a r="1">
    <v>91.25</v>
  </a>
</arrayData>
</file>

<file path=xl/richData/rdrichvalue.xml><?xml version="1.0" encoding="utf-8"?>
<rvData xmlns="http://schemas.microsoft.com/office/spreadsheetml/2017/richdata" count="6">
  <rv s="0">
    <fb>90.58</fb>
    <v>0</v>
  </rv>
  <rv s="0">
    <fb>96.01</fb>
    <v>0</v>
  </rv>
  <rv s="0">
    <fb>91.25</fb>
    <v>0</v>
  </rv>
  <rv s="1">
    <v>1</v>
    <v>SBUX</v>
    <v>Daily</v>
    <v>45656</v>
    <v>45656</v>
    <v>0</v>
    <v>1</v>
    <v>638711136000000000,638813222539941984,0</v>
    <v>0</v>
    <v>a22k9c</v>
    <v>XNAS:SBUX</v>
    <v>1</v>
  </rv>
  <rv s="1">
    <v>1</v>
    <v>SBUX</v>
    <v>Daily</v>
    <v>45289</v>
    <v>45289</v>
    <v>0</v>
    <v>1</v>
    <v>638394048000000000,638813222627402737,0</v>
    <v>0</v>
    <v>a22k9c</v>
    <v>XNAS:SBUX</v>
    <v>2</v>
  </rv>
  <rv s="1">
    <v>1</v>
    <v>SBUX</v>
    <v>Daily</v>
    <v>45657</v>
    <v>45657</v>
    <v>0</v>
    <v>1</v>
    <v>638712000000000000,638813222739304853,0</v>
    <v>0</v>
    <v>a22k9c</v>
    <v>XNAS:SBUX</v>
    <v>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05"/>
  <sheetViews>
    <sheetView topLeftCell="A2" zoomScale="80" zoomScaleNormal="80" workbookViewId="0">
      <selection activeCell="C31" sqref="C31"/>
    </sheetView>
  </sheetViews>
  <sheetFormatPr baseColWidth="10" defaultColWidth="8.83203125" defaultRowHeight="15" x14ac:dyDescent="0.2"/>
  <cols>
    <col min="2" max="2" width="46" customWidth="1"/>
    <col min="3" max="7" width="15.6640625" customWidth="1"/>
    <col min="8" max="8" width="15.6640625" style="23" hidden="1" customWidth="1"/>
    <col min="9" max="13" width="15.6640625" hidden="1" customWidth="1"/>
    <col min="14" max="14" width="9.6640625" customWidth="1"/>
    <col min="15" max="15" width="16" customWidth="1"/>
    <col min="16" max="16" width="9" customWidth="1"/>
    <col min="17" max="17" width="11.5" customWidth="1"/>
    <col min="18" max="20" width="9" customWidth="1"/>
  </cols>
  <sheetData>
    <row r="2" spans="2:19" ht="16" x14ac:dyDescent="0.2">
      <c r="B2" s="188" t="s">
        <v>149</v>
      </c>
      <c r="C2" s="188"/>
      <c r="D2" s="188"/>
      <c r="E2" s="188"/>
      <c r="F2" s="188"/>
      <c r="G2" s="188"/>
    </row>
    <row r="3" spans="2:19" ht="16" x14ac:dyDescent="0.2">
      <c r="B3" s="188" t="s">
        <v>150</v>
      </c>
      <c r="C3" s="188"/>
      <c r="D3" s="188"/>
      <c r="E3" s="188"/>
      <c r="F3" s="188"/>
      <c r="G3" s="188"/>
      <c r="H3" s="85"/>
      <c r="I3" s="1"/>
      <c r="J3" s="1"/>
    </row>
    <row r="4" spans="2:19" x14ac:dyDescent="0.2">
      <c r="B4" t="s">
        <v>0</v>
      </c>
    </row>
    <row r="5" spans="2:19" ht="16" thickBot="1" x14ac:dyDescent="0.25"/>
    <row r="6" spans="2:19" ht="16" thickBot="1" x14ac:dyDescent="0.25">
      <c r="B6" s="2" t="s">
        <v>1</v>
      </c>
      <c r="C6" s="3" t="s">
        <v>164</v>
      </c>
      <c r="D6" s="3" t="s">
        <v>162</v>
      </c>
      <c r="E6" s="3" t="s">
        <v>144</v>
      </c>
      <c r="F6" s="3" t="s">
        <v>145</v>
      </c>
      <c r="G6" s="3" t="s">
        <v>131</v>
      </c>
      <c r="H6" s="86" t="s">
        <v>123</v>
      </c>
      <c r="I6" s="3" t="s">
        <v>114</v>
      </c>
      <c r="J6" s="3" t="s">
        <v>112</v>
      </c>
      <c r="K6" s="3" t="s">
        <v>2</v>
      </c>
      <c r="L6" s="3" t="s">
        <v>3</v>
      </c>
      <c r="M6" s="3" t="s">
        <v>4</v>
      </c>
    </row>
    <row r="7" spans="2:19" ht="16" x14ac:dyDescent="0.2">
      <c r="B7" s="4" t="s">
        <v>5</v>
      </c>
      <c r="C7" s="95">
        <v>29765.9</v>
      </c>
      <c r="D7" s="95">
        <v>29462.3</v>
      </c>
      <c r="E7" s="95">
        <v>26576.1</v>
      </c>
      <c r="F7" s="95">
        <v>24607</v>
      </c>
      <c r="G7" s="53">
        <v>19164.599999999999</v>
      </c>
      <c r="H7" s="63">
        <v>21544400</v>
      </c>
      <c r="I7" s="5">
        <v>19690300</v>
      </c>
      <c r="J7" s="5">
        <v>17650700</v>
      </c>
      <c r="K7" s="5">
        <v>16844100</v>
      </c>
      <c r="L7" s="5">
        <v>15197300</v>
      </c>
      <c r="M7" s="5">
        <v>12977900</v>
      </c>
      <c r="O7" t="s">
        <v>142</v>
      </c>
    </row>
    <row r="8" spans="2:19" ht="16" x14ac:dyDescent="0.2">
      <c r="B8" s="4" t="s">
        <v>6</v>
      </c>
      <c r="C8" s="95">
        <v>4505.1000000000004</v>
      </c>
      <c r="D8" s="95">
        <v>4512.7</v>
      </c>
      <c r="E8" s="95">
        <v>3655.5</v>
      </c>
      <c r="F8" s="95">
        <v>2683.6</v>
      </c>
      <c r="G8" s="53">
        <v>2327.1</v>
      </c>
      <c r="H8" s="63">
        <v>2875000</v>
      </c>
      <c r="I8" s="5">
        <v>2652200</v>
      </c>
      <c r="J8" s="5">
        <v>2355000</v>
      </c>
      <c r="K8" s="5">
        <v>2154200</v>
      </c>
      <c r="L8" s="5">
        <v>1861900</v>
      </c>
      <c r="M8" s="5">
        <v>1588600</v>
      </c>
    </row>
    <row r="9" spans="2:19" ht="17" thickBot="1" x14ac:dyDescent="0.25">
      <c r="B9" s="4" t="s">
        <v>64</v>
      </c>
      <c r="C9" s="95">
        <v>1905.2</v>
      </c>
      <c r="D9" s="95">
        <v>2000.6</v>
      </c>
      <c r="E9" s="95">
        <v>2018.7</v>
      </c>
      <c r="F9" s="95">
        <v>1770</v>
      </c>
      <c r="G9" s="53">
        <v>2026.3</v>
      </c>
      <c r="H9" s="63">
        <v>2089200</v>
      </c>
      <c r="I9" s="5">
        <v>2377000</v>
      </c>
      <c r="J9" s="5">
        <v>2381100</v>
      </c>
      <c r="K9" s="5">
        <v>2317600</v>
      </c>
      <c r="L9" s="5">
        <v>2103500</v>
      </c>
      <c r="M9" s="5">
        <v>1881300</v>
      </c>
    </row>
    <row r="10" spans="2:19" ht="16" x14ac:dyDescent="0.2">
      <c r="B10" s="32" t="s">
        <v>7</v>
      </c>
      <c r="C10" s="104">
        <f>SUM(C7:C9)</f>
        <v>36176.199999999997</v>
      </c>
      <c r="D10" s="104">
        <f t="shared" ref="D10:M10" si="0">SUM(D7:D9)</f>
        <v>35975.599999999999</v>
      </c>
      <c r="E10" s="104">
        <f t="shared" si="0"/>
        <v>32250.3</v>
      </c>
      <c r="F10" s="33">
        <f t="shared" si="0"/>
        <v>29060.6</v>
      </c>
      <c r="G10" s="33">
        <f t="shared" si="0"/>
        <v>23517.999999999996</v>
      </c>
      <c r="H10" s="33">
        <f t="shared" si="0"/>
        <v>26508600</v>
      </c>
      <c r="I10" s="33">
        <f t="shared" si="0"/>
        <v>24719500</v>
      </c>
      <c r="J10" s="33">
        <f t="shared" si="0"/>
        <v>22386800</v>
      </c>
      <c r="K10" s="33">
        <f t="shared" si="0"/>
        <v>21315900</v>
      </c>
      <c r="L10" s="33">
        <f t="shared" si="0"/>
        <v>19162700</v>
      </c>
      <c r="M10" s="33">
        <f t="shared" si="0"/>
        <v>16447800</v>
      </c>
      <c r="N10" s="22"/>
    </row>
    <row r="11" spans="2:19" ht="16" x14ac:dyDescent="0.2">
      <c r="B11" s="4" t="s">
        <v>136</v>
      </c>
      <c r="C11" s="95">
        <v>11180.6</v>
      </c>
      <c r="D11" s="95">
        <v>11409.1</v>
      </c>
      <c r="E11" s="95">
        <v>10317.4</v>
      </c>
      <c r="F11" s="95">
        <v>8738.7000000000007</v>
      </c>
      <c r="G11" s="63">
        <v>7694.9</v>
      </c>
      <c r="H11" s="63">
        <v>-8526900</v>
      </c>
      <c r="I11" s="5">
        <v>-10174500</v>
      </c>
      <c r="J11" s="5">
        <v>-7065800</v>
      </c>
      <c r="K11" s="5">
        <v>-8511100</v>
      </c>
      <c r="L11" s="5">
        <v>-7787500</v>
      </c>
      <c r="M11" s="5">
        <v>-6858800</v>
      </c>
    </row>
    <row r="12" spans="2:19" ht="17" thickBot="1" x14ac:dyDescent="0.25">
      <c r="B12" s="4" t="s">
        <v>9</v>
      </c>
      <c r="C12" s="95">
        <v>15286.5</v>
      </c>
      <c r="D12" s="95">
        <v>14720.3</v>
      </c>
      <c r="E12" s="95">
        <v>13561.8</v>
      </c>
      <c r="F12" s="95">
        <v>11930.9</v>
      </c>
      <c r="G12" s="121">
        <v>10764</v>
      </c>
      <c r="H12" s="95">
        <v>-10493600</v>
      </c>
      <c r="I12" s="137">
        <v>-7193200</v>
      </c>
      <c r="J12" s="137">
        <v>-8486400</v>
      </c>
      <c r="K12" s="5">
        <v>-6064300</v>
      </c>
      <c r="L12" s="5">
        <v>-5411100</v>
      </c>
      <c r="M12" s="5">
        <v>-4638200</v>
      </c>
    </row>
    <row r="13" spans="2:19" ht="16" x14ac:dyDescent="0.2">
      <c r="B13" s="32" t="s">
        <v>8</v>
      </c>
      <c r="C13" s="104">
        <f>C10-C11-C12</f>
        <v>9709.0999999999985</v>
      </c>
      <c r="D13" s="104">
        <f>+D10-D11-D12</f>
        <v>9846.2000000000007</v>
      </c>
      <c r="E13" s="104">
        <f t="shared" ref="E13:G13" si="1">+E10-E11-E12</f>
        <v>8371.1000000000022</v>
      </c>
      <c r="F13" s="104">
        <f t="shared" si="1"/>
        <v>8390.9999999999982</v>
      </c>
      <c r="G13" s="104">
        <f t="shared" si="1"/>
        <v>5059.0999999999967</v>
      </c>
      <c r="H13" s="33">
        <f t="shared" ref="H13:J13" si="2">SUM(H10:H12)</f>
        <v>7488100</v>
      </c>
      <c r="I13" s="33">
        <f t="shared" si="2"/>
        <v>7351800</v>
      </c>
      <c r="J13" s="33">
        <f t="shared" si="2"/>
        <v>6834600</v>
      </c>
      <c r="K13" s="33">
        <f t="shared" ref="K13:M13" si="3">SUM(K10:K11)</f>
        <v>12804800</v>
      </c>
      <c r="L13" s="33">
        <f t="shared" si="3"/>
        <v>11375200</v>
      </c>
      <c r="M13" s="33">
        <f t="shared" si="3"/>
        <v>9589000</v>
      </c>
      <c r="N13" s="22"/>
    </row>
    <row r="14" spans="2:19" x14ac:dyDescent="0.2">
      <c r="C14" s="110"/>
      <c r="D14" s="110"/>
      <c r="P14" s="141"/>
      <c r="Q14" s="141"/>
      <c r="R14" s="141"/>
      <c r="S14" s="141"/>
    </row>
    <row r="15" spans="2:19" ht="16" x14ac:dyDescent="0.2">
      <c r="B15" s="4" t="s">
        <v>10</v>
      </c>
      <c r="C15" s="95">
        <v>565.6</v>
      </c>
      <c r="D15" s="95">
        <v>539.4</v>
      </c>
      <c r="E15" s="95">
        <v>461.5</v>
      </c>
      <c r="F15" s="95">
        <v>359.5</v>
      </c>
      <c r="G15" s="52">
        <v>430.3</v>
      </c>
      <c r="H15" s="63">
        <v>371000</v>
      </c>
      <c r="I15" s="5">
        <v>539300</v>
      </c>
      <c r="J15" s="5">
        <v>518000</v>
      </c>
      <c r="K15" s="5">
        <v>-545400</v>
      </c>
      <c r="L15" s="5">
        <v>-522400</v>
      </c>
      <c r="M15" s="5">
        <v>-457300</v>
      </c>
      <c r="O15" s="163">
        <f>+D15+D11+D12</f>
        <v>26668.799999999999</v>
      </c>
      <c r="P15" s="141"/>
      <c r="Q15" s="141"/>
      <c r="R15" s="141"/>
      <c r="S15" s="142">
        <f>-G11+G12+G15+G16</f>
        <v>4930.7000000000007</v>
      </c>
    </row>
    <row r="16" spans="2:19" ht="16" x14ac:dyDescent="0.2">
      <c r="B16" s="4" t="s">
        <v>11</v>
      </c>
      <c r="C16" s="95">
        <v>1512.6</v>
      </c>
      <c r="D16" s="95">
        <v>1362.6</v>
      </c>
      <c r="E16" s="95">
        <v>1447.9</v>
      </c>
      <c r="F16" s="95">
        <v>1441.7</v>
      </c>
      <c r="G16" s="53">
        <v>1431.3</v>
      </c>
      <c r="H16" s="63">
        <v>1377300</v>
      </c>
      <c r="I16" s="5">
        <v>1247000</v>
      </c>
      <c r="J16" s="5">
        <v>1011400</v>
      </c>
      <c r="K16" s="5">
        <v>-980800</v>
      </c>
      <c r="L16" s="5">
        <v>-893900</v>
      </c>
      <c r="M16" s="5">
        <v>-709600</v>
      </c>
      <c r="O16" s="163">
        <f>+D10-O15</f>
        <v>9306.7999999999993</v>
      </c>
      <c r="P16" s="141" t="s">
        <v>118</v>
      </c>
      <c r="Q16" s="143">
        <f>+I17+I18+I19-I20</f>
        <v>1682200</v>
      </c>
      <c r="R16" s="141"/>
      <c r="S16" s="141"/>
    </row>
    <row r="17" spans="2:19" ht="16" x14ac:dyDescent="0.2">
      <c r="B17" s="4" t="s">
        <v>12</v>
      </c>
      <c r="C17" s="95">
        <v>2523.3000000000002</v>
      </c>
      <c r="D17" s="95">
        <v>2441.3000000000002</v>
      </c>
      <c r="E17" s="95">
        <v>2032</v>
      </c>
      <c r="F17" s="95">
        <v>1932.6</v>
      </c>
      <c r="G17" s="53">
        <v>1679.6</v>
      </c>
      <c r="H17" s="63">
        <v>1824100</v>
      </c>
      <c r="I17" s="5">
        <v>1759000</v>
      </c>
      <c r="J17" s="5">
        <v>1408400</v>
      </c>
      <c r="K17" s="5">
        <v>-1360600</v>
      </c>
      <c r="L17" s="5">
        <v>-1196700</v>
      </c>
      <c r="M17" s="5">
        <v>-991300</v>
      </c>
      <c r="O17" s="44">
        <f>+O16/D10</f>
        <v>0.25869756168069469</v>
      </c>
      <c r="P17" s="141" t="s">
        <v>119</v>
      </c>
      <c r="Q17" s="143">
        <f>+I12+I15</f>
        <v>-6653900</v>
      </c>
      <c r="R17" s="141"/>
      <c r="S17" s="141"/>
    </row>
    <row r="18" spans="2:19" ht="16" x14ac:dyDescent="0.2">
      <c r="B18" s="4" t="s">
        <v>113</v>
      </c>
      <c r="C18" s="95">
        <v>0</v>
      </c>
      <c r="D18" s="95">
        <v>21.8</v>
      </c>
      <c r="E18" s="95">
        <v>46</v>
      </c>
      <c r="F18" s="95">
        <v>170.4</v>
      </c>
      <c r="G18" s="52">
        <v>278.7</v>
      </c>
      <c r="H18" s="63">
        <v>135800</v>
      </c>
      <c r="I18" s="5">
        <v>224400</v>
      </c>
      <c r="J18" s="5">
        <v>153500</v>
      </c>
      <c r="K18" s="5" t="s">
        <v>102</v>
      </c>
      <c r="L18" s="5" t="s">
        <v>102</v>
      </c>
      <c r="M18" s="5">
        <v>20200</v>
      </c>
      <c r="P18" s="141" t="s">
        <v>120</v>
      </c>
      <c r="Q18" s="143">
        <f>+I16</f>
        <v>1247000</v>
      </c>
      <c r="R18" s="141"/>
      <c r="S18" s="141"/>
    </row>
    <row r="19" spans="2:19" ht="16" x14ac:dyDescent="0.2">
      <c r="B19" s="4" t="s">
        <v>13</v>
      </c>
      <c r="C19" s="95">
        <v>0</v>
      </c>
      <c r="D19" s="95">
        <v>91.3</v>
      </c>
      <c r="E19" s="95"/>
      <c r="F19" s="95"/>
      <c r="G19" s="105">
        <v>0</v>
      </c>
      <c r="H19" s="63">
        <v>0</v>
      </c>
      <c r="I19" s="5">
        <v>0</v>
      </c>
      <c r="J19" s="5">
        <v>0</v>
      </c>
      <c r="K19" s="5" t="s">
        <v>102</v>
      </c>
      <c r="L19" s="5" t="s">
        <v>102</v>
      </c>
      <c r="M19" s="5" t="s">
        <v>102</v>
      </c>
      <c r="P19" s="141"/>
      <c r="Q19" s="141"/>
      <c r="R19" s="141"/>
      <c r="S19" s="141"/>
    </row>
    <row r="20" spans="2:19" ht="17" thickBot="1" x14ac:dyDescent="0.25">
      <c r="B20" s="4" t="s">
        <v>14</v>
      </c>
      <c r="C20" s="95">
        <v>301.2</v>
      </c>
      <c r="D20" s="95">
        <v>298.39999999999998</v>
      </c>
      <c r="E20" s="140">
        <v>234.1</v>
      </c>
      <c r="F20" s="140">
        <v>385.3</v>
      </c>
      <c r="G20" s="52">
        <v>322.5</v>
      </c>
      <c r="H20" s="77">
        <v>298000</v>
      </c>
      <c r="I20" s="5">
        <v>301200</v>
      </c>
      <c r="J20" s="5">
        <v>391400</v>
      </c>
      <c r="K20" s="5">
        <v>318200</v>
      </c>
      <c r="L20" s="5">
        <v>249900</v>
      </c>
      <c r="M20" s="5">
        <v>268300</v>
      </c>
    </row>
    <row r="21" spans="2:19" ht="16" x14ac:dyDescent="0.2">
      <c r="B21" s="32" t="s">
        <v>15</v>
      </c>
      <c r="C21" s="186">
        <f>SUM(C13,C19,C20)-SUM(C15,C16,C17)</f>
        <v>5408.7999999999993</v>
      </c>
      <c r="D21" s="104">
        <f>+D13-D15-D16-D17-D18+D19+D20</f>
        <v>5870.8</v>
      </c>
      <c r="E21" s="104">
        <f>+E13-E15-E16-E17-E18-E19+E20</f>
        <v>4617.8000000000029</v>
      </c>
      <c r="F21" s="104">
        <f t="shared" ref="F21:J21" si="4">+F13-F15-F16-F17-F18-F19+F20</f>
        <v>4872.0999999999995</v>
      </c>
      <c r="G21" s="104">
        <f t="shared" si="4"/>
        <v>1561.6999999999964</v>
      </c>
      <c r="H21" s="104">
        <f t="shared" si="4"/>
        <v>4077900</v>
      </c>
      <c r="I21" s="104">
        <f t="shared" si="4"/>
        <v>3883300</v>
      </c>
      <c r="J21" s="104">
        <f t="shared" si="4"/>
        <v>4134700</v>
      </c>
      <c r="K21" s="33">
        <f>SUM(K13:K20)</f>
        <v>10236200</v>
      </c>
      <c r="L21" s="33">
        <f>SUM(L13:L20)</f>
        <v>9012100</v>
      </c>
      <c r="M21" s="33">
        <f>SUM(M13:M20)</f>
        <v>7719300</v>
      </c>
      <c r="Q21" s="22"/>
    </row>
    <row r="22" spans="2:19" ht="16" x14ac:dyDescent="0.2">
      <c r="B22" s="32" t="s">
        <v>163</v>
      </c>
      <c r="C22" s="35">
        <f>(C21+'SBUX Cash Flow'!D8+'SBUX Cash Flow'!D9)</f>
        <v>7028.0999999999985</v>
      </c>
      <c r="D22" s="35">
        <f>(D21+'SBUX Cash Flow'!E8+'SBUX Cash Flow'!E9)</f>
        <v>7242.1</v>
      </c>
      <c r="E22" s="35">
        <f>(E21+'SBUX Cash Flow'!F8+'SBUX Cash Flow'!F9)</f>
        <v>6109.7000000000025</v>
      </c>
      <c r="F22" s="35">
        <f>(F21+'SBUX Cash Flow'!G8+'SBUX Cash Flow'!G9)</f>
        <v>6384.8999999999987</v>
      </c>
      <c r="G22" s="35">
        <f>(G21+'SBUX Cash Flow'!H8+'SBUX Cash Flow'!H9)</f>
        <v>3011.8999999999965</v>
      </c>
      <c r="H22" s="35">
        <f>(H21+'SBUX Cash Flow'!I8+'SBUX Cash Flow'!I9)</f>
        <v>5493400</v>
      </c>
      <c r="I22" s="35">
        <f>(I21+'SBUX Cash Flow'!J8+'SBUX Cash Flow'!J9)</f>
        <v>5173200</v>
      </c>
      <c r="J22" s="35">
        <f>(J21+'SBUX Cash Flow'!K8+'SBUX Cash Flow'!K9)</f>
        <v>5078200</v>
      </c>
      <c r="K22" s="35">
        <f>(K21+'SBUX Cash Flow'!L8+'SBUX Cash Flow'!L9)</f>
        <v>11266200</v>
      </c>
      <c r="L22" s="35">
        <f>(L21+'SBUX Cash Flow'!M8+'SBUX Cash Flow'!M9)</f>
        <v>9946100</v>
      </c>
      <c r="M22" s="35">
        <f>(M21+'SBUX Cash Flow'!N8+'SBUX Cash Flow'!N9)</f>
        <v>8467300</v>
      </c>
      <c r="Q22" s="22"/>
    </row>
    <row r="23" spans="2:19" ht="16" x14ac:dyDescent="0.2">
      <c r="B23" s="70" t="s">
        <v>122</v>
      </c>
      <c r="C23" s="124"/>
      <c r="D23" s="124"/>
      <c r="E23" s="124">
        <v>0</v>
      </c>
      <c r="F23" s="124">
        <v>0</v>
      </c>
      <c r="G23" s="124">
        <v>0</v>
      </c>
      <c r="H23" s="87">
        <v>0</v>
      </c>
      <c r="I23" s="69">
        <v>1376400</v>
      </c>
      <c r="J23" s="34">
        <v>0</v>
      </c>
      <c r="K23" s="34" t="s">
        <v>102</v>
      </c>
      <c r="L23" s="34">
        <v>390600</v>
      </c>
      <c r="M23" s="34" t="s">
        <v>102</v>
      </c>
    </row>
    <row r="24" spans="2:19" ht="16" x14ac:dyDescent="0.2">
      <c r="B24" s="4" t="s">
        <v>124</v>
      </c>
      <c r="C24" s="95"/>
      <c r="D24" s="95"/>
      <c r="E24" s="95">
        <v>0</v>
      </c>
      <c r="F24" s="95">
        <v>864.5</v>
      </c>
      <c r="G24" s="105">
        <v>0</v>
      </c>
      <c r="H24" s="63">
        <v>622800</v>
      </c>
      <c r="I24" s="5">
        <v>499200</v>
      </c>
      <c r="J24" s="5">
        <v>93500</v>
      </c>
      <c r="K24" s="5" t="s">
        <v>102</v>
      </c>
      <c r="L24" s="5">
        <v>-61100</v>
      </c>
      <c r="M24" s="5" t="s">
        <v>102</v>
      </c>
    </row>
    <row r="25" spans="2:19" ht="16" x14ac:dyDescent="0.2">
      <c r="B25" s="4" t="s">
        <v>16</v>
      </c>
      <c r="C25" s="95">
        <v>122.8</v>
      </c>
      <c r="D25" s="95">
        <v>81.2</v>
      </c>
      <c r="E25" s="95">
        <v>97</v>
      </c>
      <c r="F25" s="95">
        <v>90.1</v>
      </c>
      <c r="G25">
        <v>39.700000000000003</v>
      </c>
      <c r="H25" s="63">
        <v>96500</v>
      </c>
      <c r="I25" s="5">
        <v>191400</v>
      </c>
      <c r="J25" s="5">
        <v>181800</v>
      </c>
      <c r="K25" s="5">
        <v>108000</v>
      </c>
      <c r="L25" s="5">
        <v>43000</v>
      </c>
      <c r="M25" s="5">
        <v>142700</v>
      </c>
    </row>
    <row r="26" spans="2:19" ht="17" thickBot="1" x14ac:dyDescent="0.25">
      <c r="B26" s="4" t="s">
        <v>17</v>
      </c>
      <c r="C26" s="95">
        <v>-562</v>
      </c>
      <c r="D26" s="95">
        <v>-550.1</v>
      </c>
      <c r="E26" s="95">
        <v>-482.9</v>
      </c>
      <c r="F26" s="95">
        <v>-469.8</v>
      </c>
      <c r="G26" s="63">
        <v>-437</v>
      </c>
      <c r="H26" s="63">
        <v>-331000</v>
      </c>
      <c r="I26" s="93">
        <v>-170300</v>
      </c>
      <c r="J26" s="93">
        <v>-92500</v>
      </c>
      <c r="K26" s="5">
        <v>-81300</v>
      </c>
      <c r="L26" s="5">
        <v>-70500</v>
      </c>
      <c r="M26" s="5">
        <v>-64100</v>
      </c>
    </row>
    <row r="27" spans="2:19" ht="16" x14ac:dyDescent="0.2">
      <c r="B27" s="42" t="s">
        <v>18</v>
      </c>
      <c r="C27" s="106">
        <f>SUM(C21:C26)-C22</f>
        <v>4969.5999999999985</v>
      </c>
      <c r="D27" s="106">
        <f>SUM(D21:D26)-D22</f>
        <v>5401.9000000000015</v>
      </c>
      <c r="E27" s="106">
        <f t="shared" ref="E27:F27" si="5">SUM(E21:E26)-E22</f>
        <v>4231.9000000000033</v>
      </c>
      <c r="F27" s="106">
        <f t="shared" si="5"/>
        <v>5356.9000000000005</v>
      </c>
      <c r="G27" s="106">
        <f>SUM(G21:G26)-G22</f>
        <v>1164.3999999999965</v>
      </c>
      <c r="H27" s="43">
        <f>SUM(H21:H26)-EBITDA</f>
        <v>4466200</v>
      </c>
      <c r="I27" s="43">
        <f t="shared" ref="I27:M27" si="6">SUM(I21:I26)</f>
        <v>10953200</v>
      </c>
      <c r="J27" s="43">
        <f t="shared" si="6"/>
        <v>9395700</v>
      </c>
      <c r="K27" s="43">
        <f t="shared" si="6"/>
        <v>21529100</v>
      </c>
      <c r="L27" s="43">
        <f t="shared" si="6"/>
        <v>19260200</v>
      </c>
      <c r="M27" s="43">
        <f t="shared" si="6"/>
        <v>16265200</v>
      </c>
    </row>
    <row r="28" spans="2:19" ht="17" thickBot="1" x14ac:dyDescent="0.25">
      <c r="B28" s="4" t="s">
        <v>19</v>
      </c>
      <c r="C28" s="95">
        <v>1207.3</v>
      </c>
      <c r="D28" s="95">
        <v>1277.2</v>
      </c>
      <c r="E28" s="95">
        <v>948.5</v>
      </c>
      <c r="F28" s="95">
        <v>1156.5999999999999</v>
      </c>
      <c r="G28">
        <v>239.7</v>
      </c>
      <c r="H28" s="63">
        <v>871600</v>
      </c>
      <c r="I28" s="5">
        <v>1262000</v>
      </c>
      <c r="J28" s="5">
        <v>1432600</v>
      </c>
      <c r="K28" s="5">
        <v>-1379700</v>
      </c>
      <c r="L28" s="5">
        <v>-1143700</v>
      </c>
      <c r="M28" s="5">
        <v>-1092000</v>
      </c>
    </row>
    <row r="29" spans="2:19" x14ac:dyDescent="0.2">
      <c r="B29" s="126" t="s">
        <v>20</v>
      </c>
      <c r="C29" s="106">
        <f>+C27-C28</f>
        <v>3762.2999999999984</v>
      </c>
      <c r="D29" s="106">
        <f>+D27-D28</f>
        <v>4124.7000000000016</v>
      </c>
      <c r="E29" s="106">
        <f t="shared" ref="E29:F29" si="7">+E27-E28</f>
        <v>3283.4000000000033</v>
      </c>
      <c r="F29" s="106">
        <f t="shared" si="7"/>
        <v>4200.3000000000011</v>
      </c>
      <c r="G29" s="106">
        <f>+G27-G28</f>
        <v>924.69999999999641</v>
      </c>
      <c r="H29" s="43">
        <f>+H27-H28</f>
        <v>3594600</v>
      </c>
      <c r="I29" s="43">
        <f>+I27-I28</f>
        <v>9691200</v>
      </c>
      <c r="J29" s="43">
        <f>+J27-J28</f>
        <v>7963100</v>
      </c>
      <c r="K29" s="43">
        <f>SUM(K27:K28)</f>
        <v>20149400</v>
      </c>
      <c r="L29" s="43">
        <f>SUM(L27:L28)</f>
        <v>18116500</v>
      </c>
      <c r="M29" s="43">
        <f>SUM(M27:M28)</f>
        <v>15173200</v>
      </c>
    </row>
    <row r="30" spans="2:19" ht="17" thickBot="1" x14ac:dyDescent="0.25">
      <c r="B30" s="4" t="s">
        <v>125</v>
      </c>
      <c r="C30" s="95">
        <v>1.4</v>
      </c>
      <c r="D30" s="95">
        <v>0.2</v>
      </c>
      <c r="E30" s="95">
        <v>1.8</v>
      </c>
      <c r="F30" s="95">
        <v>1</v>
      </c>
      <c r="G30" s="94">
        <v>-3.6</v>
      </c>
      <c r="H30" s="94">
        <v>-4600</v>
      </c>
      <c r="I30" s="94">
        <v>-300</v>
      </c>
      <c r="J30" s="94">
        <v>200</v>
      </c>
      <c r="K30" s="5">
        <v>-1200</v>
      </c>
      <c r="L30" s="5">
        <v>-1900</v>
      </c>
      <c r="M30" s="5">
        <v>400</v>
      </c>
    </row>
    <row r="31" spans="2:19" ht="17" thickBot="1" x14ac:dyDescent="0.25">
      <c r="B31" s="32" t="s">
        <v>21</v>
      </c>
      <c r="C31" s="127">
        <f>C29-C30</f>
        <v>3760.8999999999983</v>
      </c>
      <c r="D31" s="127">
        <f t="shared" ref="D31:I31" si="8">+D29-D30</f>
        <v>4124.5000000000018</v>
      </c>
      <c r="E31" s="127">
        <f t="shared" si="8"/>
        <v>3281.6000000000031</v>
      </c>
      <c r="F31" s="127">
        <f t="shared" si="8"/>
        <v>4199.3000000000011</v>
      </c>
      <c r="G31" s="127">
        <f t="shared" si="8"/>
        <v>928.29999999999643</v>
      </c>
      <c r="H31" s="128">
        <f t="shared" si="8"/>
        <v>3599200</v>
      </c>
      <c r="I31" s="128">
        <f t="shared" si="8"/>
        <v>9691500</v>
      </c>
      <c r="J31" s="128">
        <f>+J29-J30</f>
        <v>7962900</v>
      </c>
      <c r="K31" s="33">
        <f>SUM(K29:K30)</f>
        <v>20148200</v>
      </c>
      <c r="L31" s="33">
        <f>SUM(L29:L30)</f>
        <v>18114600</v>
      </c>
      <c r="M31" s="33">
        <f>SUM(M29:M30)</f>
        <v>15173600</v>
      </c>
    </row>
    <row r="32" spans="2:19" ht="16" thickTop="1" x14ac:dyDescent="0.2">
      <c r="B32" s="6"/>
      <c r="C32" s="185"/>
      <c r="D32" s="6"/>
      <c r="E32" s="111"/>
      <c r="F32" s="111"/>
      <c r="G32" s="6"/>
      <c r="H32" s="65"/>
      <c r="I32" s="6"/>
      <c r="J32" s="6"/>
      <c r="K32" s="30"/>
      <c r="L32" s="7"/>
      <c r="M32" s="7"/>
    </row>
    <row r="33" spans="2:13" ht="17" thickBot="1" x14ac:dyDescent="0.25">
      <c r="B33" s="4" t="s">
        <v>103</v>
      </c>
      <c r="C33" s="105">
        <v>3.32</v>
      </c>
      <c r="D33" s="153">
        <v>3.6</v>
      </c>
      <c r="E33" s="95">
        <v>2.85</v>
      </c>
      <c r="F33" s="95">
        <v>3.57</v>
      </c>
      <c r="G33" s="105">
        <v>0.79</v>
      </c>
      <c r="H33" s="95">
        <f>+H31/H36</f>
        <v>2.9472649852603996</v>
      </c>
      <c r="I33" s="98">
        <f>+I31/I36</f>
        <v>7.0091126057713167</v>
      </c>
      <c r="J33" s="61">
        <f>+J31/J36</f>
        <v>5.4935494998275267</v>
      </c>
      <c r="K33" s="50">
        <v>1.91</v>
      </c>
      <c r="L33" s="50">
        <v>1.84</v>
      </c>
      <c r="M33" s="50">
        <v>1.37</v>
      </c>
    </row>
    <row r="34" spans="2:13" x14ac:dyDescent="0.2">
      <c r="B34" s="49" t="s">
        <v>104</v>
      </c>
      <c r="C34" s="107">
        <v>3.31</v>
      </c>
      <c r="D34" s="154">
        <v>3.58</v>
      </c>
      <c r="E34" s="125">
        <v>2.83</v>
      </c>
      <c r="F34" s="125">
        <v>3.54</v>
      </c>
      <c r="G34" s="107">
        <v>0.79</v>
      </c>
      <c r="H34" s="95">
        <f>+H31/H37</f>
        <v>2.9185857930587091</v>
      </c>
      <c r="I34" s="98">
        <f>+I31/I37</f>
        <v>6.9493044600602323</v>
      </c>
      <c r="J34" s="60">
        <f>+J31/J37</f>
        <v>5.4484433800889498</v>
      </c>
      <c r="K34" s="56">
        <v>1.9</v>
      </c>
      <c r="L34" s="56">
        <v>1.82</v>
      </c>
      <c r="M34" s="56">
        <v>1.35</v>
      </c>
    </row>
    <row r="35" spans="2:13" x14ac:dyDescent="0.2">
      <c r="B35" s="52" t="s">
        <v>105</v>
      </c>
      <c r="C35" s="52"/>
      <c r="D35" s="155"/>
      <c r="E35" s="121"/>
      <c r="F35" s="121"/>
      <c r="G35" s="52"/>
      <c r="H35" s="88"/>
      <c r="I35" s="52"/>
      <c r="J35" s="52"/>
      <c r="K35" s="53"/>
      <c r="L35" s="53"/>
      <c r="M35" s="53"/>
    </row>
    <row r="36" spans="2:13" x14ac:dyDescent="0.2">
      <c r="B36" s="54" t="s">
        <v>106</v>
      </c>
      <c r="C36" s="108">
        <v>1133.8</v>
      </c>
      <c r="D36" s="183">
        <v>1146.8</v>
      </c>
      <c r="E36" s="108">
        <v>1153.3</v>
      </c>
      <c r="F36" s="108">
        <v>1177.5999999999999</v>
      </c>
      <c r="G36" s="108">
        <v>1172.8</v>
      </c>
      <c r="H36" s="89">
        <v>1221200</v>
      </c>
      <c r="I36" s="96">
        <v>1382700</v>
      </c>
      <c r="J36" s="89">
        <v>1449500</v>
      </c>
      <c r="K36" s="57">
        <v>1471.6</v>
      </c>
      <c r="L36" s="57">
        <v>1495.9</v>
      </c>
      <c r="M36" s="57">
        <v>1506.3</v>
      </c>
    </row>
    <row r="37" spans="2:13" x14ac:dyDescent="0.2">
      <c r="B37" s="55" t="s">
        <v>107</v>
      </c>
      <c r="C37" s="109">
        <v>1137.3</v>
      </c>
      <c r="D37" s="184">
        <v>1151.3</v>
      </c>
      <c r="E37" s="109">
        <v>1158.5</v>
      </c>
      <c r="F37" s="109">
        <v>1185.5</v>
      </c>
      <c r="G37" s="109">
        <v>1181.8</v>
      </c>
      <c r="H37" s="90">
        <v>1233200</v>
      </c>
      <c r="I37" s="97">
        <v>1394600</v>
      </c>
      <c r="J37" s="90">
        <v>1461500</v>
      </c>
      <c r="K37" s="57">
        <v>1486.7</v>
      </c>
      <c r="L37" s="57">
        <v>1513.4</v>
      </c>
      <c r="M37" s="57">
        <v>1526.3</v>
      </c>
    </row>
    <row r="38" spans="2:13" x14ac:dyDescent="0.2">
      <c r="D38" s="157"/>
      <c r="F38" s="110"/>
    </row>
    <row r="39" spans="2:13" x14ac:dyDescent="0.2">
      <c r="D39" s="157"/>
    </row>
    <row r="40" spans="2:13" ht="16" x14ac:dyDescent="0.2">
      <c r="B40" s="188" t="s">
        <v>149</v>
      </c>
      <c r="C40" s="188"/>
      <c r="D40" s="188"/>
      <c r="E40" s="188"/>
      <c r="F40" s="188"/>
      <c r="G40" s="188"/>
    </row>
    <row r="41" spans="2:13" ht="16" x14ac:dyDescent="0.2">
      <c r="B41" s="188" t="s">
        <v>150</v>
      </c>
      <c r="C41" s="188"/>
      <c r="D41" s="188"/>
      <c r="E41" s="188"/>
      <c r="F41" s="188"/>
      <c r="G41" s="188"/>
    </row>
    <row r="42" spans="2:13" x14ac:dyDescent="0.2">
      <c r="B42" t="s">
        <v>0</v>
      </c>
    </row>
    <row r="43" spans="2:13" ht="16" thickBot="1" x14ac:dyDescent="0.25"/>
    <row r="44" spans="2:13" ht="16" thickBot="1" x14ac:dyDescent="0.25">
      <c r="B44" s="2" t="s">
        <v>1</v>
      </c>
      <c r="C44" s="3" t="str">
        <f>+C6</f>
        <v>9/29/24</v>
      </c>
      <c r="D44" s="3" t="s">
        <v>162</v>
      </c>
      <c r="E44" s="3" t="s">
        <v>144</v>
      </c>
      <c r="F44" s="3" t="s">
        <v>145</v>
      </c>
      <c r="G44" s="3" t="s">
        <v>131</v>
      </c>
    </row>
    <row r="45" spans="2:13" ht="16" x14ac:dyDescent="0.2">
      <c r="B45" s="4" t="s">
        <v>5</v>
      </c>
      <c r="C45" s="4"/>
      <c r="D45" s="173"/>
      <c r="E45" s="174"/>
      <c r="F45" s="174"/>
      <c r="G45" s="175"/>
    </row>
    <row r="46" spans="2:13" ht="16" x14ac:dyDescent="0.2">
      <c r="B46" s="4" t="s">
        <v>6</v>
      </c>
      <c r="C46" s="4"/>
      <c r="D46" s="173"/>
      <c r="E46" s="174"/>
      <c r="F46" s="174"/>
      <c r="G46" s="175"/>
    </row>
    <row r="47" spans="2:13" ht="16" x14ac:dyDescent="0.2">
      <c r="B47" s="4" t="s">
        <v>64</v>
      </c>
      <c r="C47" s="4"/>
      <c r="D47" s="173"/>
      <c r="E47" s="174"/>
      <c r="F47" s="174"/>
      <c r="G47" s="175"/>
    </row>
    <row r="48" spans="2:13" ht="16" x14ac:dyDescent="0.2">
      <c r="B48" s="32" t="s">
        <v>7</v>
      </c>
      <c r="C48" s="176">
        <f>+C10/$C$10</f>
        <v>1</v>
      </c>
      <c r="D48" s="176">
        <f>+D10/$D$10</f>
        <v>1</v>
      </c>
      <c r="E48" s="176">
        <f>+E10/$E$10</f>
        <v>1</v>
      </c>
      <c r="F48" s="176">
        <f>+F10/$F$10</f>
        <v>1</v>
      </c>
      <c r="G48" s="176">
        <f>+G10/$G$10</f>
        <v>1</v>
      </c>
    </row>
    <row r="49" spans="2:7" ht="16" x14ac:dyDescent="0.2">
      <c r="B49" s="4" t="s">
        <v>136</v>
      </c>
      <c r="C49" s="177">
        <f>+C11/$C$10</f>
        <v>0.30905954743726544</v>
      </c>
      <c r="D49" s="177">
        <f>+D11/$D$10</f>
        <v>0.31713439108729252</v>
      </c>
      <c r="E49" s="177">
        <f>+E11/$E$10</f>
        <v>0.31991640387841352</v>
      </c>
      <c r="F49" s="177">
        <f>+F11/$F$10</f>
        <v>0.30070611067906378</v>
      </c>
      <c r="G49" s="177">
        <f>+G11/$G$10</f>
        <v>0.32719193808997366</v>
      </c>
    </row>
    <row r="50" spans="2:7" ht="16" x14ac:dyDescent="0.2">
      <c r="B50" s="4" t="s">
        <v>9</v>
      </c>
      <c r="C50" s="177">
        <f>+C12/$C$10</f>
        <v>0.42255681912417559</v>
      </c>
      <c r="D50" s="177">
        <f t="shared" ref="D50:D51" si="9">+D12/$D$10</f>
        <v>0.40917455164055638</v>
      </c>
      <c r="E50" s="177">
        <f>+E12/$E$10</f>
        <v>0.42051701844634004</v>
      </c>
      <c r="F50" s="177">
        <f>+F12/$F$10</f>
        <v>0.41055243181489715</v>
      </c>
      <c r="G50" s="177">
        <f>+G12/$G$10</f>
        <v>0.45769198061059618</v>
      </c>
    </row>
    <row r="51" spans="2:7" ht="16" x14ac:dyDescent="0.2">
      <c r="B51" s="32" t="s">
        <v>8</v>
      </c>
      <c r="C51" s="179">
        <f>+C13/$C$10</f>
        <v>0.26838363343855903</v>
      </c>
      <c r="D51" s="179">
        <f t="shared" si="9"/>
        <v>0.27369105727215115</v>
      </c>
      <c r="E51" s="176">
        <f>+E13/$E$10</f>
        <v>0.25956657767524649</v>
      </c>
      <c r="F51" s="176">
        <f>+F13/$F$10</f>
        <v>0.28874145750603908</v>
      </c>
      <c r="G51" s="176">
        <f>+G13/$G$10</f>
        <v>0.21511608129943011</v>
      </c>
    </row>
    <row r="52" spans="2:7" x14ac:dyDescent="0.2">
      <c r="C52" s="178"/>
      <c r="D52" s="178"/>
      <c r="E52" s="178"/>
      <c r="F52" s="178"/>
      <c r="G52" s="178"/>
    </row>
    <row r="53" spans="2:7" ht="16" x14ac:dyDescent="0.2">
      <c r="B53" s="4" t="s">
        <v>10</v>
      </c>
      <c r="C53" s="178">
        <f t="shared" ref="C53:C69" si="10">+C15/$C$10</f>
        <v>1.5634588486352907E-2</v>
      </c>
      <c r="D53" s="178">
        <f>+D15/$D$10</f>
        <v>1.4993495591456431E-2</v>
      </c>
      <c r="E53" s="177">
        <f>+E15/$E$10</f>
        <v>1.4309944403617951E-2</v>
      </c>
      <c r="F53" s="177">
        <f>+F15/$F$10</f>
        <v>1.2370701224338108E-2</v>
      </c>
      <c r="G53" s="177">
        <f>+G15/$G$10</f>
        <v>1.8296623862573351E-2</v>
      </c>
    </row>
    <row r="54" spans="2:7" ht="16" x14ac:dyDescent="0.2">
      <c r="B54" s="4" t="s">
        <v>11</v>
      </c>
      <c r="C54" s="178">
        <f t="shared" si="10"/>
        <v>4.1812020057385796E-2</v>
      </c>
      <c r="D54" s="178">
        <f t="shared" ref="D54:G69" si="11">+D16/$D$10</f>
        <v>3.7875671288317633E-2</v>
      </c>
      <c r="E54" s="177">
        <f t="shared" ref="E54:E58" si="12">+E16/$E$10</f>
        <v>4.489570639652965E-2</v>
      </c>
      <c r="F54" s="177">
        <f t="shared" ref="F54:F58" si="13">+F16/$F$10</f>
        <v>4.9610125049035468E-2</v>
      </c>
      <c r="G54" s="177">
        <f t="shared" ref="G54:G58" si="14">+G16/$G$10</f>
        <v>6.0859766986988695E-2</v>
      </c>
    </row>
    <row r="55" spans="2:7" ht="16" x14ac:dyDescent="0.2">
      <c r="B55" s="4" t="s">
        <v>12</v>
      </c>
      <c r="C55" s="178">
        <f t="shared" si="10"/>
        <v>6.975027780695596E-2</v>
      </c>
      <c r="D55" s="178">
        <f t="shared" si="11"/>
        <v>6.7859882809459759E-2</v>
      </c>
      <c r="E55" s="177">
        <f t="shared" si="12"/>
        <v>6.300716582481404E-2</v>
      </c>
      <c r="F55" s="177">
        <f t="shared" si="13"/>
        <v>6.6502412200711611E-2</v>
      </c>
      <c r="G55" s="177">
        <f t="shared" si="14"/>
        <v>7.1417637554213806E-2</v>
      </c>
    </row>
    <row r="56" spans="2:7" ht="16" x14ac:dyDescent="0.2">
      <c r="B56" s="4" t="s">
        <v>113</v>
      </c>
      <c r="C56" s="178">
        <f t="shared" si="10"/>
        <v>0</v>
      </c>
      <c r="D56" s="178">
        <f t="shared" si="11"/>
        <v>6.0596626602475018E-4</v>
      </c>
      <c r="E56" s="177">
        <f t="shared" si="12"/>
        <v>1.4263433208373255E-3</v>
      </c>
      <c r="F56" s="177">
        <f t="shared" si="13"/>
        <v>5.8636091477808445E-3</v>
      </c>
      <c r="G56" s="177">
        <f t="shared" si="14"/>
        <v>1.1850497491283274E-2</v>
      </c>
    </row>
    <row r="57" spans="2:7" ht="16" x14ac:dyDescent="0.2">
      <c r="B57" s="4" t="s">
        <v>13</v>
      </c>
      <c r="C57" s="178">
        <f t="shared" si="10"/>
        <v>0</v>
      </c>
      <c r="D57" s="178">
        <f t="shared" si="11"/>
        <v>2.5378311966999857E-3</v>
      </c>
      <c r="E57" s="177">
        <f t="shared" si="12"/>
        <v>0</v>
      </c>
      <c r="F57" s="177">
        <f t="shared" si="13"/>
        <v>0</v>
      </c>
      <c r="G57" s="177">
        <f t="shared" si="14"/>
        <v>0</v>
      </c>
    </row>
    <row r="58" spans="2:7" ht="16" x14ac:dyDescent="0.2">
      <c r="B58" s="4" t="s">
        <v>14</v>
      </c>
      <c r="C58" s="178">
        <f t="shared" si="10"/>
        <v>8.3259159336801555E-3</v>
      </c>
      <c r="D58" s="178">
        <f t="shared" si="11"/>
        <v>8.2945107239351112E-3</v>
      </c>
      <c r="E58" s="177">
        <f t="shared" si="12"/>
        <v>7.2588472045221281E-3</v>
      </c>
      <c r="F58" s="177">
        <f t="shared" si="13"/>
        <v>1.325850120093873E-2</v>
      </c>
      <c r="G58" s="177">
        <f t="shared" si="14"/>
        <v>1.3712900756867083E-2</v>
      </c>
    </row>
    <row r="59" spans="2:7" ht="16" x14ac:dyDescent="0.2">
      <c r="B59" s="32" t="s">
        <v>15</v>
      </c>
      <c r="C59" s="179">
        <f t="shared" si="10"/>
        <v>0.14951266302154453</v>
      </c>
      <c r="D59" s="179">
        <f t="shared" si="11"/>
        <v>0.16318838323752766</v>
      </c>
      <c r="E59" s="179">
        <f>+E21/$E$10</f>
        <v>0.14318626493396969</v>
      </c>
      <c r="F59" s="179">
        <f>+F21/$F$10</f>
        <v>0.1676531110851118</v>
      </c>
      <c r="G59" s="179">
        <f>+G21/$G$10</f>
        <v>6.6404456161238051E-2</v>
      </c>
    </row>
    <row r="60" spans="2:7" ht="16" x14ac:dyDescent="0.2">
      <c r="B60" s="32" t="s">
        <v>163</v>
      </c>
      <c r="C60" s="176">
        <f t="shared" si="10"/>
        <v>0.19427413603418819</v>
      </c>
      <c r="D60" s="176">
        <f t="shared" si="11"/>
        <v>0.20130588509990105</v>
      </c>
      <c r="E60" s="176">
        <f>+E22/$E$10</f>
        <v>0.18944629972434374</v>
      </c>
      <c r="F60" s="176">
        <f>+F22/$F$10</f>
        <v>0.21970984769756988</v>
      </c>
      <c r="G60" s="176">
        <f>+G22/$G$10</f>
        <v>0.12806786291351294</v>
      </c>
    </row>
    <row r="61" spans="2:7" ht="16" x14ac:dyDescent="0.2">
      <c r="B61" s="70" t="s">
        <v>122</v>
      </c>
      <c r="C61" s="178">
        <f t="shared" si="10"/>
        <v>0</v>
      </c>
      <c r="D61" s="178">
        <f t="shared" si="11"/>
        <v>0</v>
      </c>
      <c r="E61" s="178">
        <f t="shared" si="11"/>
        <v>0</v>
      </c>
      <c r="F61" s="178">
        <f t="shared" si="11"/>
        <v>0</v>
      </c>
      <c r="G61" s="178">
        <f t="shared" si="11"/>
        <v>0</v>
      </c>
    </row>
    <row r="62" spans="2:7" ht="16" x14ac:dyDescent="0.2">
      <c r="B62" s="4" t="s">
        <v>124</v>
      </c>
      <c r="C62" s="178">
        <f t="shared" si="10"/>
        <v>0</v>
      </c>
      <c r="D62" s="178">
        <f t="shared" si="11"/>
        <v>0</v>
      </c>
      <c r="E62" s="178">
        <f t="shared" si="11"/>
        <v>0</v>
      </c>
      <c r="F62" s="178">
        <f t="shared" si="11"/>
        <v>2.4030176008183326E-2</v>
      </c>
      <c r="G62" s="178">
        <f t="shared" si="11"/>
        <v>0</v>
      </c>
    </row>
    <row r="63" spans="2:7" ht="16" x14ac:dyDescent="0.2">
      <c r="B63" s="4" t="s">
        <v>16</v>
      </c>
      <c r="C63" s="178">
        <f t="shared" si="10"/>
        <v>3.3944969344486156E-3</v>
      </c>
      <c r="D63" s="178">
        <f t="shared" si="11"/>
        <v>2.2570853578536567E-3</v>
      </c>
      <c r="E63" s="178">
        <f t="shared" si="11"/>
        <v>2.6962719176330625E-3</v>
      </c>
      <c r="F63" s="178">
        <f t="shared" si="11"/>
        <v>2.5044752554509169E-3</v>
      </c>
      <c r="G63" s="178">
        <f t="shared" si="11"/>
        <v>1.1035257229900267E-3</v>
      </c>
    </row>
    <row r="64" spans="2:7" ht="16" x14ac:dyDescent="0.2">
      <c r="B64" s="4" t="s">
        <v>17</v>
      </c>
      <c r="C64" s="178">
        <f t="shared" si="10"/>
        <v>-1.5535075546906531E-2</v>
      </c>
      <c r="D64" s="178">
        <f t="shared" si="11"/>
        <v>-1.5290919400927297E-2</v>
      </c>
      <c r="E64" s="178">
        <f t="shared" si="11"/>
        <v>-1.3422986690979442E-2</v>
      </c>
      <c r="F64" s="178">
        <f t="shared" si="11"/>
        <v>-1.3058850999010441E-2</v>
      </c>
      <c r="G64" s="178">
        <f t="shared" si="11"/>
        <v>-1.2147121938202559E-2</v>
      </c>
    </row>
    <row r="65" spans="2:7" ht="16" x14ac:dyDescent="0.2">
      <c r="B65" s="42" t="s">
        <v>18</v>
      </c>
      <c r="C65" s="179">
        <f t="shared" si="10"/>
        <v>0.1373720844090866</v>
      </c>
      <c r="D65" s="179">
        <f t="shared" si="11"/>
        <v>0.15015454919445406</v>
      </c>
      <c r="E65" s="179">
        <f>+E27/$E$10</f>
        <v>0.1312204847706844</v>
      </c>
      <c r="F65" s="179">
        <f>+F27/$F$10</f>
        <v>0.18433549204077002</v>
      </c>
      <c r="G65" s="179">
        <f>+G27/$G$10</f>
        <v>4.9511012841227851E-2</v>
      </c>
    </row>
    <row r="66" spans="2:7" ht="16" x14ac:dyDescent="0.2">
      <c r="B66" s="4" t="s">
        <v>19</v>
      </c>
      <c r="C66" s="178">
        <f t="shared" si="10"/>
        <v>3.3372769942669495E-2</v>
      </c>
      <c r="D66" s="178">
        <f t="shared" si="11"/>
        <v>3.5501840136092241E-2</v>
      </c>
      <c r="E66" s="178">
        <f t="shared" si="11"/>
        <v>2.6365091895618142E-2</v>
      </c>
      <c r="F66" s="178">
        <f t="shared" si="11"/>
        <v>3.2149568040560822E-2</v>
      </c>
      <c r="G66" s="178">
        <f t="shared" si="11"/>
        <v>6.6628492645014956E-3</v>
      </c>
    </row>
    <row r="67" spans="2:7" x14ac:dyDescent="0.2">
      <c r="B67" s="126" t="s">
        <v>20</v>
      </c>
      <c r="C67" s="179">
        <f t="shared" si="10"/>
        <v>0.10399931446641711</v>
      </c>
      <c r="D67" s="179">
        <f t="shared" si="11"/>
        <v>0.11465270905836183</v>
      </c>
      <c r="E67" s="179">
        <f>+E29/$E$10</f>
        <v>0.10180990564428868</v>
      </c>
      <c r="F67" s="179">
        <f>+F29/$F$10</f>
        <v>0.14453590084168949</v>
      </c>
      <c r="G67" s="179">
        <f>+G29/$G$10</f>
        <v>3.9318819627519201E-2</v>
      </c>
    </row>
    <row r="68" spans="2:7" ht="16" x14ac:dyDescent="0.2">
      <c r="B68" s="4" t="s">
        <v>125</v>
      </c>
      <c r="C68" s="178">
        <f t="shared" si="10"/>
        <v>3.8699476451368583E-5</v>
      </c>
      <c r="D68" s="178">
        <f t="shared" si="11"/>
        <v>5.559323541511469E-6</v>
      </c>
      <c r="E68" s="178">
        <f t="shared" si="11"/>
        <v>5.0033911873603225E-5</v>
      </c>
      <c r="F68" s="178">
        <f t="shared" si="11"/>
        <v>2.7796617707557345E-5</v>
      </c>
      <c r="G68" s="178">
        <f t="shared" si="11"/>
        <v>-1.0006782374720645E-4</v>
      </c>
    </row>
    <row r="69" spans="2:7" ht="17" thickBot="1" x14ac:dyDescent="0.25">
      <c r="B69" s="32" t="s">
        <v>21</v>
      </c>
      <c r="C69" s="180">
        <f t="shared" si="10"/>
        <v>0.10396061498996574</v>
      </c>
      <c r="D69" s="180">
        <f t="shared" si="11"/>
        <v>0.11464714973482032</v>
      </c>
      <c r="E69" s="180">
        <f>+E31/$E$10</f>
        <v>0.10175409220999504</v>
      </c>
      <c r="F69" s="180">
        <f>+F31/$F$10</f>
        <v>0.14450148998988324</v>
      </c>
      <c r="G69" s="180">
        <f>+G31/$G$10</f>
        <v>3.9471893868526092E-2</v>
      </c>
    </row>
    <row r="70" spans="2:7" ht="16" thickTop="1" x14ac:dyDescent="0.2">
      <c r="B70" s="6"/>
      <c r="C70" s="6"/>
      <c r="D70" s="6"/>
      <c r="E70" s="111"/>
      <c r="F70" s="111"/>
      <c r="G70" s="6"/>
    </row>
    <row r="71" spans="2:7" ht="16" thickBot="1" x14ac:dyDescent="0.25">
      <c r="B71" s="4"/>
      <c r="C71" s="4"/>
      <c r="D71" s="153"/>
      <c r="E71" s="95"/>
      <c r="F71" s="95"/>
      <c r="G71" s="105"/>
    </row>
    <row r="72" spans="2:7" x14ac:dyDescent="0.2">
      <c r="B72" s="49"/>
      <c r="C72" s="182"/>
      <c r="D72" s="154"/>
      <c r="E72" s="125"/>
      <c r="F72" s="125"/>
      <c r="G72" s="107"/>
    </row>
    <row r="73" spans="2:7" x14ac:dyDescent="0.2">
      <c r="B73" s="52"/>
      <c r="C73" s="52"/>
      <c r="D73" s="155"/>
      <c r="E73" s="121"/>
      <c r="F73" s="121"/>
      <c r="G73" s="52"/>
    </row>
    <row r="74" spans="2:7" x14ac:dyDescent="0.2">
      <c r="B74" s="54"/>
      <c r="C74" s="54"/>
      <c r="D74" s="156"/>
      <c r="E74" s="108"/>
      <c r="F74" s="108"/>
      <c r="G74" s="108"/>
    </row>
    <row r="75" spans="2:7" x14ac:dyDescent="0.2">
      <c r="B75" s="55"/>
      <c r="C75" s="55"/>
      <c r="D75" s="155"/>
      <c r="E75" s="109"/>
      <c r="F75" s="109"/>
      <c r="G75" s="109"/>
    </row>
    <row r="76" spans="2:7" x14ac:dyDescent="0.2">
      <c r="D76" s="157"/>
      <c r="F76" s="110"/>
    </row>
    <row r="82" spans="1:14" x14ac:dyDescent="0.2">
      <c r="A82" s="24"/>
      <c r="B82" s="20"/>
      <c r="C82" s="20"/>
      <c r="D82" s="20"/>
      <c r="E82" s="20"/>
      <c r="F82" s="20"/>
      <c r="G82" s="20"/>
      <c r="H82" s="91"/>
      <c r="I82" s="20"/>
      <c r="J82" s="20"/>
    </row>
    <row r="83" spans="1:14" x14ac:dyDescent="0.2">
      <c r="M83" s="21"/>
      <c r="N83" s="21"/>
    </row>
    <row r="84" spans="1:14" x14ac:dyDescent="0.2">
      <c r="M84" s="26"/>
      <c r="N84" s="26"/>
    </row>
    <row r="85" spans="1:14" x14ac:dyDescent="0.2">
      <c r="M85" s="26"/>
      <c r="N85" s="26"/>
    </row>
    <row r="86" spans="1:14" x14ac:dyDescent="0.2">
      <c r="M86" s="26"/>
      <c r="N86" s="26"/>
    </row>
    <row r="87" spans="1:14" x14ac:dyDescent="0.2">
      <c r="M87" s="26"/>
      <c r="N87" s="26"/>
    </row>
    <row r="89" spans="1:14" x14ac:dyDescent="0.2">
      <c r="A89" s="24"/>
      <c r="B89" s="20"/>
      <c r="C89" s="20"/>
      <c r="D89" s="20"/>
      <c r="E89" s="20"/>
      <c r="F89" s="20"/>
      <c r="G89" s="20"/>
      <c r="H89" s="91"/>
      <c r="I89" s="20"/>
      <c r="J89" s="20"/>
    </row>
    <row r="90" spans="1:14" x14ac:dyDescent="0.2">
      <c r="M90" s="26"/>
      <c r="N90" s="26"/>
    </row>
    <row r="91" spans="1:14" x14ac:dyDescent="0.2">
      <c r="M91" s="26"/>
      <c r="N91" s="26"/>
    </row>
    <row r="92" spans="1:14" x14ac:dyDescent="0.2">
      <c r="M92" s="26"/>
      <c r="N92" s="26"/>
    </row>
    <row r="93" spans="1:14" x14ac:dyDescent="0.2">
      <c r="M93" s="26"/>
      <c r="N93" s="26"/>
    </row>
    <row r="95" spans="1:14" x14ac:dyDescent="0.2">
      <c r="A95" s="24"/>
      <c r="B95" s="20"/>
      <c r="C95" s="20"/>
      <c r="D95" s="20"/>
      <c r="E95" s="20"/>
      <c r="F95" s="20"/>
      <c r="G95" s="20"/>
      <c r="H95" s="91"/>
      <c r="I95" s="20"/>
      <c r="J95" s="20"/>
    </row>
    <row r="96" spans="1:14" x14ac:dyDescent="0.2">
      <c r="M96" s="26"/>
      <c r="N96" s="26"/>
    </row>
    <row r="97" spans="2:14" x14ac:dyDescent="0.2">
      <c r="M97" s="26"/>
      <c r="N97" s="26"/>
    </row>
    <row r="98" spans="2:14" x14ac:dyDescent="0.2">
      <c r="M98" s="26"/>
      <c r="N98" s="26"/>
    </row>
    <row r="99" spans="2:14" x14ac:dyDescent="0.2">
      <c r="M99" s="26"/>
      <c r="N99" s="26"/>
    </row>
    <row r="101" spans="2:14" x14ac:dyDescent="0.2">
      <c r="B101" s="24"/>
      <c r="C101" s="24"/>
      <c r="D101" s="24"/>
      <c r="E101" s="24"/>
      <c r="F101" s="24"/>
      <c r="G101" s="24"/>
      <c r="H101" s="92"/>
      <c r="I101" s="24"/>
      <c r="J101" s="24"/>
    </row>
    <row r="102" spans="2:14" x14ac:dyDescent="0.2">
      <c r="M102" s="26"/>
      <c r="N102" s="26"/>
    </row>
    <row r="103" spans="2:14" x14ac:dyDescent="0.2">
      <c r="M103" s="26"/>
      <c r="N103" s="26"/>
    </row>
    <row r="104" spans="2:14" x14ac:dyDescent="0.2">
      <c r="M104" s="26"/>
      <c r="N104" s="26"/>
    </row>
    <row r="105" spans="2:14" x14ac:dyDescent="0.2">
      <c r="M105" s="26"/>
      <c r="N105" s="26"/>
    </row>
  </sheetData>
  <mergeCells count="4">
    <mergeCell ref="B2:G2"/>
    <mergeCell ref="B3:G3"/>
    <mergeCell ref="B40:G40"/>
    <mergeCell ref="B41:G41"/>
  </mergeCells>
  <phoneticPr fontId="20" type="noConversion"/>
  <pageMargins left="0.7" right="0.7" top="0.75" bottom="0.75" header="0.3" footer="0.3"/>
  <pageSetup scale="83" orientation="portrait" r:id="rId1"/>
  <ignoredErrors>
    <ignoredError sqref="E6:J6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7"/>
  <sheetViews>
    <sheetView topLeftCell="E1" zoomScale="90" zoomScaleNormal="90" workbookViewId="0">
      <selection activeCell="R21" sqref="R21"/>
    </sheetView>
  </sheetViews>
  <sheetFormatPr baseColWidth="10" defaultColWidth="8.83203125" defaultRowHeight="15" x14ac:dyDescent="0.2"/>
  <cols>
    <col min="1" max="1" width="4.5" customWidth="1"/>
    <col min="2" max="2" width="33.6640625" customWidth="1"/>
    <col min="3" max="6" width="15.6640625" customWidth="1"/>
    <col min="7" max="7" width="15.6640625" hidden="1" customWidth="1"/>
    <col min="8" max="8" width="15.6640625" style="100" hidden="1" customWidth="1"/>
    <col min="9" max="13" width="15.6640625" hidden="1" customWidth="1"/>
    <col min="14" max="14" width="6.6640625" customWidth="1"/>
    <col min="15" max="15" width="32.6640625" bestFit="1" customWidth="1"/>
    <col min="16" max="19" width="15.6640625" customWidth="1"/>
    <col min="20" max="26" width="15.6640625" hidden="1" customWidth="1"/>
    <col min="27" max="27" width="12.6640625" customWidth="1"/>
    <col min="28" max="28" width="12.33203125" customWidth="1"/>
    <col min="29" max="29" width="5.1640625" bestFit="1" customWidth="1"/>
  </cols>
  <sheetData>
    <row r="1" spans="2:26" x14ac:dyDescent="0.2">
      <c r="O1" t="s">
        <v>81</v>
      </c>
    </row>
    <row r="5" spans="2:26" x14ac:dyDescent="0.2">
      <c r="B5" s="189" t="s">
        <v>147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</row>
    <row r="6" spans="2:26" x14ac:dyDescent="0.2">
      <c r="B6" s="189" t="s">
        <v>148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</row>
    <row r="7" spans="2:26" x14ac:dyDescent="0.2">
      <c r="B7" t="s">
        <v>0</v>
      </c>
    </row>
    <row r="8" spans="2:26" ht="16" thickBot="1" x14ac:dyDescent="0.25"/>
    <row r="9" spans="2:26" ht="16" thickBot="1" x14ac:dyDescent="0.25">
      <c r="C9" s="159" t="str">
        <f>+'SBUX Income Statement'!C6</f>
        <v>9/29/24</v>
      </c>
      <c r="D9" s="159" t="str">
        <f>+'SBUX Income Statement'!D6</f>
        <v>10/1/23</v>
      </c>
      <c r="E9" s="3" t="s">
        <v>138</v>
      </c>
      <c r="F9" s="3" t="s">
        <v>137</v>
      </c>
      <c r="G9" s="99" t="s">
        <v>131</v>
      </c>
      <c r="H9" s="99" t="s">
        <v>123</v>
      </c>
      <c r="I9" s="3" t="s">
        <v>114</v>
      </c>
      <c r="J9" s="3" t="s">
        <v>112</v>
      </c>
      <c r="K9" s="3" t="s">
        <v>2</v>
      </c>
      <c r="L9" s="3" t="s">
        <v>3</v>
      </c>
      <c r="M9" s="3" t="s">
        <v>4</v>
      </c>
      <c r="N9" s="9"/>
      <c r="P9" s="159" t="str">
        <f>+'SBUX Income Statement'!C6</f>
        <v>9/29/24</v>
      </c>
      <c r="Q9" s="159" t="str">
        <f>+'SBUX Income Statement'!D6</f>
        <v>10/1/23</v>
      </c>
      <c r="R9" s="3" t="s">
        <v>144</v>
      </c>
      <c r="S9" s="3" t="s">
        <v>145</v>
      </c>
      <c r="T9" s="99" t="s">
        <v>131</v>
      </c>
      <c r="U9" s="3" t="s">
        <v>123</v>
      </c>
      <c r="V9" s="3" t="s">
        <v>114</v>
      </c>
      <c r="W9" s="3" t="s">
        <v>112</v>
      </c>
      <c r="X9" s="3" t="s">
        <v>2</v>
      </c>
      <c r="Y9" s="3" t="s">
        <v>3</v>
      </c>
      <c r="Z9" s="3" t="s">
        <v>4</v>
      </c>
    </row>
    <row r="10" spans="2:26" ht="16" x14ac:dyDescent="0.2">
      <c r="B10" s="4" t="s">
        <v>22</v>
      </c>
      <c r="C10" s="160">
        <v>3286.2</v>
      </c>
      <c r="D10" s="160">
        <v>3551.5</v>
      </c>
      <c r="E10" s="95">
        <v>2818.4</v>
      </c>
      <c r="F10" s="95">
        <v>6455.7</v>
      </c>
      <c r="G10" s="95">
        <v>4350.8999999999996</v>
      </c>
      <c r="H10" s="63">
        <v>2686600</v>
      </c>
      <c r="I10" s="63">
        <v>8756300</v>
      </c>
      <c r="J10" s="62">
        <v>2462300</v>
      </c>
      <c r="K10" s="5">
        <v>2128800</v>
      </c>
      <c r="L10" s="5">
        <v>1530100</v>
      </c>
      <c r="M10" s="5">
        <v>1708400</v>
      </c>
      <c r="N10" s="5"/>
      <c r="O10" s="4" t="s">
        <v>23</v>
      </c>
      <c r="P10" s="160">
        <v>1595.5</v>
      </c>
      <c r="Q10" s="160">
        <v>1544.3</v>
      </c>
      <c r="R10" s="95">
        <v>1441.4</v>
      </c>
      <c r="S10" s="95">
        <v>1211.5999999999999</v>
      </c>
      <c r="T10" s="95">
        <v>997.9</v>
      </c>
      <c r="U10" s="63">
        <v>1189700</v>
      </c>
      <c r="V10" s="63">
        <v>1179300</v>
      </c>
      <c r="W10" s="63">
        <v>782500</v>
      </c>
      <c r="X10" s="5">
        <v>730600</v>
      </c>
      <c r="Y10" s="5">
        <v>684200</v>
      </c>
      <c r="Z10" s="5">
        <v>533700</v>
      </c>
    </row>
    <row r="11" spans="2:26" ht="16" x14ac:dyDescent="0.2">
      <c r="B11" s="4" t="s">
        <v>24</v>
      </c>
      <c r="C11" s="164">
        <v>257</v>
      </c>
      <c r="D11" s="164">
        <v>401.5</v>
      </c>
      <c r="E11" s="129">
        <v>364.5</v>
      </c>
      <c r="F11" s="129">
        <v>162.19999999999999</v>
      </c>
      <c r="G11" s="129">
        <v>281.2</v>
      </c>
      <c r="H11" s="64">
        <v>70500</v>
      </c>
      <c r="I11" s="64">
        <v>181500</v>
      </c>
      <c r="J11" s="64">
        <v>228600</v>
      </c>
      <c r="K11" s="5">
        <v>134400</v>
      </c>
      <c r="L11" s="5">
        <v>81300</v>
      </c>
      <c r="M11" s="5">
        <v>135400</v>
      </c>
      <c r="N11" s="5"/>
      <c r="O11" s="4" t="s">
        <v>25</v>
      </c>
      <c r="P11" s="160">
        <v>786.6</v>
      </c>
      <c r="Q11" s="160">
        <v>828.3</v>
      </c>
      <c r="R11" s="95">
        <v>761.7</v>
      </c>
      <c r="S11" s="95">
        <v>772.3</v>
      </c>
      <c r="T11" s="95">
        <v>696</v>
      </c>
      <c r="U11" s="63">
        <v>664600</v>
      </c>
      <c r="V11" s="63">
        <v>656800</v>
      </c>
      <c r="W11" s="63"/>
      <c r="X11" s="5">
        <v>510800</v>
      </c>
      <c r="Y11" s="5">
        <v>522300</v>
      </c>
      <c r="Z11" s="5">
        <v>437900</v>
      </c>
    </row>
    <row r="12" spans="2:26" ht="16" x14ac:dyDescent="0.2">
      <c r="B12" s="10" t="s">
        <v>26</v>
      </c>
      <c r="C12" s="113">
        <f>SUM(C10,C11)</f>
        <v>3543.2</v>
      </c>
      <c r="D12" s="113">
        <f t="shared" ref="D12:F12" si="0">+D10+D11</f>
        <v>3953</v>
      </c>
      <c r="E12" s="113">
        <f t="shared" si="0"/>
        <v>3182.9</v>
      </c>
      <c r="F12" s="113">
        <f t="shared" si="0"/>
        <v>6617.9</v>
      </c>
      <c r="G12" s="113">
        <f>+G10+G11</f>
        <v>4632.0999999999995</v>
      </c>
      <c r="H12" s="71">
        <f>+H10+H11</f>
        <v>2757100</v>
      </c>
      <c r="I12" s="71">
        <f>+I10+I11</f>
        <v>8937800</v>
      </c>
      <c r="J12" s="11">
        <f>+J10+J11</f>
        <v>2690900</v>
      </c>
      <c r="K12" s="11">
        <f>+K10+K11</f>
        <v>2263200</v>
      </c>
      <c r="L12" s="11">
        <v>1611400</v>
      </c>
      <c r="M12" s="11">
        <v>1843800</v>
      </c>
      <c r="N12" s="5"/>
      <c r="O12" s="4" t="s">
        <v>27</v>
      </c>
      <c r="P12" s="160"/>
      <c r="Q12" s="160"/>
      <c r="R12" s="95"/>
      <c r="S12" s="95"/>
      <c r="U12" s="63"/>
      <c r="V12" s="63"/>
      <c r="W12" s="63"/>
      <c r="X12" s="5">
        <v>137500</v>
      </c>
      <c r="Y12" s="5">
        <v>137200</v>
      </c>
      <c r="Z12" s="5">
        <v>119800</v>
      </c>
    </row>
    <row r="13" spans="2:26" ht="16" x14ac:dyDescent="0.2">
      <c r="C13" s="161"/>
      <c r="D13" s="161"/>
      <c r="E13" s="110"/>
      <c r="F13" s="110"/>
      <c r="G13" s="110"/>
      <c r="H13"/>
      <c r="N13" s="5"/>
      <c r="O13" s="4" t="s">
        <v>28</v>
      </c>
      <c r="P13" s="160"/>
      <c r="Q13" s="160"/>
      <c r="R13" s="95"/>
      <c r="S13" s="95"/>
      <c r="T13" s="95">
        <v>98.2</v>
      </c>
      <c r="U13" s="63">
        <v>1291700</v>
      </c>
      <c r="V13" s="63">
        <v>102800</v>
      </c>
      <c r="W13" s="63"/>
      <c r="X13" s="5">
        <v>368400</v>
      </c>
      <c r="Y13" s="5">
        <v>259000</v>
      </c>
      <c r="Z13" s="5">
        <v>272000</v>
      </c>
    </row>
    <row r="14" spans="2:26" ht="16" x14ac:dyDescent="0.2">
      <c r="B14" s="4" t="s">
        <v>29</v>
      </c>
      <c r="C14" s="160">
        <v>1213.8</v>
      </c>
      <c r="D14" s="160">
        <v>1184.0999999999999</v>
      </c>
      <c r="E14" s="95">
        <v>1175.5</v>
      </c>
      <c r="F14" s="95">
        <v>940</v>
      </c>
      <c r="G14" s="95">
        <v>883.4</v>
      </c>
      <c r="H14" s="63">
        <v>879200</v>
      </c>
      <c r="I14" s="63">
        <v>693100</v>
      </c>
      <c r="J14" s="63">
        <v>870400</v>
      </c>
      <c r="K14" s="5">
        <v>768800</v>
      </c>
      <c r="L14" s="5">
        <v>719000</v>
      </c>
      <c r="M14" s="5">
        <v>631000</v>
      </c>
      <c r="N14" s="5"/>
      <c r="O14" s="4" t="s">
        <v>30</v>
      </c>
      <c r="P14" s="160"/>
      <c r="Q14" s="160"/>
      <c r="R14" s="95"/>
      <c r="S14" s="95"/>
      <c r="T14" s="95"/>
      <c r="U14" s="63"/>
      <c r="V14" s="63"/>
      <c r="W14" s="63"/>
      <c r="X14" s="5">
        <v>365100</v>
      </c>
      <c r="Y14" s="5">
        <v>297000</v>
      </c>
      <c r="Z14" s="5">
        <v>239800</v>
      </c>
    </row>
    <row r="15" spans="2:26" ht="17" thickBot="1" x14ac:dyDescent="0.25">
      <c r="C15" s="161"/>
      <c r="D15" s="161"/>
      <c r="E15" s="110"/>
      <c r="F15" s="110"/>
      <c r="G15" s="110"/>
      <c r="H15" s="23"/>
      <c r="I15" s="23"/>
      <c r="J15" s="23"/>
      <c r="N15" s="5"/>
      <c r="O15" s="4" t="s">
        <v>31</v>
      </c>
      <c r="P15" s="160"/>
      <c r="Q15" s="160"/>
      <c r="R15" s="95"/>
      <c r="S15" s="95"/>
      <c r="T15" s="95"/>
      <c r="U15" s="63"/>
      <c r="V15" s="63"/>
      <c r="W15" s="63"/>
      <c r="X15" s="5">
        <v>617300</v>
      </c>
      <c r="Y15" s="5">
        <f>545200-5400</f>
        <v>539800</v>
      </c>
      <c r="Z15" s="5">
        <v>444900</v>
      </c>
    </row>
    <row r="16" spans="2:26" ht="16" x14ac:dyDescent="0.2">
      <c r="B16" s="4" t="s">
        <v>32</v>
      </c>
      <c r="C16" s="160">
        <v>1777.3</v>
      </c>
      <c r="D16" s="160">
        <v>1806.4</v>
      </c>
      <c r="E16" s="95">
        <v>2176.6</v>
      </c>
      <c r="F16" s="95">
        <v>1603.9</v>
      </c>
      <c r="G16" s="95">
        <v>1551.4</v>
      </c>
      <c r="H16" s="63">
        <v>1529400</v>
      </c>
      <c r="I16" s="63">
        <v>1400500</v>
      </c>
      <c r="J16" s="63">
        <v>1364000</v>
      </c>
      <c r="K16" s="5">
        <v>1378500</v>
      </c>
      <c r="L16" s="5">
        <v>1306400</v>
      </c>
      <c r="M16" s="5">
        <v>1090900</v>
      </c>
      <c r="N16" s="12"/>
      <c r="O16" s="82" t="s">
        <v>33</v>
      </c>
      <c r="P16" s="162">
        <v>2194.6999999999998</v>
      </c>
      <c r="Q16" s="162">
        <v>2145.1</v>
      </c>
      <c r="R16" s="130">
        <v>2137.1</v>
      </c>
      <c r="S16" s="130">
        <v>2321.1999999999998</v>
      </c>
      <c r="T16" s="95">
        <v>1160.7</v>
      </c>
      <c r="U16" s="83">
        <v>1753700</v>
      </c>
      <c r="V16" s="83">
        <v>1752500</v>
      </c>
      <c r="W16" s="83">
        <v>1934500</v>
      </c>
      <c r="X16" s="84">
        <f>SUM(X11:X15)</f>
        <v>1999100</v>
      </c>
      <c r="Y16" s="33">
        <f t="shared" ref="Y16:Z16" si="1">SUM(Y11:Y15)</f>
        <v>1755300</v>
      </c>
      <c r="Z16" s="33">
        <f t="shared" si="1"/>
        <v>1514400</v>
      </c>
    </row>
    <row r="17" spans="2:31" ht="16" x14ac:dyDescent="0.2">
      <c r="C17" s="161"/>
      <c r="D17" s="161"/>
      <c r="E17" s="110"/>
      <c r="F17" s="110"/>
      <c r="G17" s="110"/>
      <c r="H17" s="23"/>
      <c r="I17" s="23"/>
      <c r="J17" s="23"/>
      <c r="N17" s="5"/>
      <c r="O17" s="4" t="s">
        <v>133</v>
      </c>
      <c r="P17" s="160">
        <v>1463.1</v>
      </c>
      <c r="Q17" s="160">
        <v>1275.3</v>
      </c>
      <c r="R17" s="95">
        <v>1245.7</v>
      </c>
      <c r="S17" s="95">
        <v>1251.3</v>
      </c>
      <c r="T17" s="95">
        <v>1248.8</v>
      </c>
      <c r="U17" s="63">
        <v>0</v>
      </c>
      <c r="V17" s="63">
        <v>0</v>
      </c>
      <c r="W17" s="63">
        <v>215200</v>
      </c>
      <c r="X17" s="5">
        <v>246000</v>
      </c>
      <c r="Y17" s="5">
        <v>224800</v>
      </c>
      <c r="Z17" s="5">
        <v>196100</v>
      </c>
    </row>
    <row r="18" spans="2:31" ht="16" x14ac:dyDescent="0.2">
      <c r="B18" s="4" t="s">
        <v>53</v>
      </c>
      <c r="C18" s="160">
        <v>313.10000000000002</v>
      </c>
      <c r="D18" s="160">
        <v>359.9</v>
      </c>
      <c r="E18" s="95">
        <v>483.7</v>
      </c>
      <c r="F18" s="95">
        <v>594.6</v>
      </c>
      <c r="G18" s="95">
        <v>739.5</v>
      </c>
      <c r="H18" s="63">
        <v>488200</v>
      </c>
      <c r="I18" s="63">
        <v>1462800</v>
      </c>
      <c r="J18" s="63">
        <v>358100</v>
      </c>
      <c r="K18" s="5">
        <v>350000</v>
      </c>
      <c r="L18" s="5">
        <v>334200</v>
      </c>
      <c r="M18" s="5">
        <v>285600</v>
      </c>
      <c r="N18" s="5"/>
      <c r="O18" s="4" t="s">
        <v>126</v>
      </c>
      <c r="P18" s="160">
        <v>1781.2</v>
      </c>
      <c r="Q18" s="160">
        <v>1700.2</v>
      </c>
      <c r="R18" s="95">
        <v>1641.9</v>
      </c>
      <c r="S18" s="95">
        <v>1596.1</v>
      </c>
      <c r="T18" s="95">
        <v>1456.5</v>
      </c>
      <c r="U18" s="63">
        <v>1269000</v>
      </c>
      <c r="V18" s="63">
        <v>1642900</v>
      </c>
      <c r="W18" s="63">
        <v>1288500</v>
      </c>
      <c r="X18" s="5">
        <v>1171200</v>
      </c>
      <c r="Y18" s="5">
        <v>983800</v>
      </c>
      <c r="Z18" s="5">
        <v>794500</v>
      </c>
    </row>
    <row r="19" spans="2:31" ht="17" thickBot="1" x14ac:dyDescent="0.25">
      <c r="B19" s="4" t="s">
        <v>34</v>
      </c>
      <c r="C19" s="160"/>
      <c r="D19" s="160"/>
      <c r="E19" s="95"/>
      <c r="F19" s="95"/>
      <c r="G19" s="95"/>
      <c r="H19" s="4"/>
      <c r="I19" s="4"/>
      <c r="J19" s="63"/>
      <c r="K19" s="5">
        <v>0</v>
      </c>
      <c r="L19" s="5"/>
      <c r="M19" s="5">
        <v>317400</v>
      </c>
      <c r="N19" s="5"/>
      <c r="O19" s="4" t="s">
        <v>139</v>
      </c>
      <c r="P19" s="160">
        <v>1248.9000000000001</v>
      </c>
      <c r="Q19" s="160">
        <f>33.5+1818.6</f>
        <v>1852.1</v>
      </c>
      <c r="R19" s="95">
        <f>175+1749</f>
        <v>1924</v>
      </c>
      <c r="S19" s="95">
        <v>998.9</v>
      </c>
      <c r="T19" s="95">
        <f>438.8+1249.9</f>
        <v>1688.7</v>
      </c>
      <c r="U19" s="77">
        <v>0</v>
      </c>
      <c r="V19" s="77">
        <v>349900</v>
      </c>
      <c r="W19" s="63">
        <v>0</v>
      </c>
      <c r="X19" s="5">
        <v>400000</v>
      </c>
    </row>
    <row r="20" spans="2:31" ht="16" x14ac:dyDescent="0.2">
      <c r="B20" s="32" t="s">
        <v>35</v>
      </c>
      <c r="C20" s="112">
        <f>SUM(C12,C16,C14,C18)</f>
        <v>6847.4000000000005</v>
      </c>
      <c r="D20" s="112">
        <f t="shared" ref="D20:F20" si="2">SUM(D12:D19)</f>
        <v>7303.4</v>
      </c>
      <c r="E20" s="112">
        <f t="shared" si="2"/>
        <v>7018.7</v>
      </c>
      <c r="F20" s="112">
        <f t="shared" si="2"/>
        <v>9756.4</v>
      </c>
      <c r="G20" s="112">
        <f>SUM(G12:G19)</f>
        <v>7806.4</v>
      </c>
      <c r="H20" s="33">
        <f>SUM(H12:H19)</f>
        <v>5653900</v>
      </c>
      <c r="I20" s="33">
        <f>SUM(I12:I19)</f>
        <v>12494200</v>
      </c>
      <c r="J20" s="33">
        <f>SUM(J12:J19)</f>
        <v>5283400</v>
      </c>
      <c r="K20" s="33">
        <f>SUM(K12:K19)</f>
        <v>4760500</v>
      </c>
      <c r="L20" s="33">
        <f t="shared" ref="L20:M20" si="3">SUM(L12:L19)</f>
        <v>3971000</v>
      </c>
      <c r="M20" s="33">
        <f t="shared" si="3"/>
        <v>4168700</v>
      </c>
      <c r="N20" s="35"/>
      <c r="O20" s="32" t="s">
        <v>36</v>
      </c>
      <c r="P20" s="112">
        <f>SUM(P10:P19)</f>
        <v>9070</v>
      </c>
      <c r="Q20" s="112">
        <f t="shared" ref="Q20:S20" si="4">SUM(Q10:Q19)</f>
        <v>9345.2999999999993</v>
      </c>
      <c r="R20" s="112">
        <f t="shared" si="4"/>
        <v>9151.8000000000011</v>
      </c>
      <c r="S20" s="112">
        <f t="shared" si="4"/>
        <v>8151.4</v>
      </c>
      <c r="T20" s="112">
        <f>SUM(T10:T19)</f>
        <v>7346.8</v>
      </c>
      <c r="U20" s="72">
        <f>SUM(U10:U19)</f>
        <v>6168700</v>
      </c>
      <c r="V20" s="72">
        <f>SUM(V10:V19)</f>
        <v>5684200</v>
      </c>
      <c r="W20" s="33">
        <f>+W10+W16+W17+W18+W19</f>
        <v>4220700</v>
      </c>
      <c r="X20" s="33">
        <f>+X10+X16+X17+X18+X19</f>
        <v>4546900</v>
      </c>
      <c r="Y20" s="33">
        <f>+Y10+Y16+Y17+Y18+Y19</f>
        <v>3648100</v>
      </c>
      <c r="Z20" s="33">
        <f>+Z10+Z16+Z17+Z18+Z19</f>
        <v>3038700</v>
      </c>
      <c r="AB20" s="163"/>
    </row>
    <row r="21" spans="2:31" ht="16" x14ac:dyDescent="0.2">
      <c r="B21" s="4" t="s">
        <v>37</v>
      </c>
      <c r="C21" s="160">
        <v>276</v>
      </c>
      <c r="D21" s="160">
        <v>247.4</v>
      </c>
      <c r="E21" s="95">
        <v>279.10000000000002</v>
      </c>
      <c r="F21" s="95">
        <v>281.7</v>
      </c>
      <c r="G21" s="95">
        <v>206.1</v>
      </c>
      <c r="H21" s="63">
        <v>220000</v>
      </c>
      <c r="I21" s="63">
        <v>267700</v>
      </c>
      <c r="J21" s="63">
        <v>542300</v>
      </c>
      <c r="K21" s="5">
        <v>1141700</v>
      </c>
      <c r="L21" s="5">
        <v>312500</v>
      </c>
      <c r="M21" s="5">
        <v>318400</v>
      </c>
      <c r="N21" s="5"/>
      <c r="O21" s="4" t="s">
        <v>38</v>
      </c>
      <c r="P21" s="160">
        <v>14319.5</v>
      </c>
      <c r="Q21" s="160">
        <v>13547.6</v>
      </c>
      <c r="R21" s="95">
        <v>13119.9</v>
      </c>
      <c r="S21" s="95">
        <v>13616.9</v>
      </c>
      <c r="T21" s="95">
        <v>14659.6</v>
      </c>
      <c r="U21" s="77">
        <v>11167000</v>
      </c>
      <c r="V21" s="77">
        <v>9090200</v>
      </c>
      <c r="W21" s="63">
        <v>3932600</v>
      </c>
      <c r="X21" s="5">
        <v>3202200</v>
      </c>
      <c r="Y21" s="5">
        <v>2347500</v>
      </c>
      <c r="Z21" s="5">
        <v>2048300</v>
      </c>
      <c r="AC21" s="19"/>
      <c r="AD21" s="19"/>
      <c r="AE21" s="19"/>
    </row>
    <row r="22" spans="2:31" ht="16" x14ac:dyDescent="0.2">
      <c r="B22" s="4" t="s">
        <v>39</v>
      </c>
      <c r="C22" s="160">
        <v>463.9</v>
      </c>
      <c r="D22" s="160">
        <v>439.9</v>
      </c>
      <c r="E22" s="95">
        <v>311.2</v>
      </c>
      <c r="F22" s="95">
        <v>268.5</v>
      </c>
      <c r="G22" s="95">
        <v>478.7</v>
      </c>
      <c r="H22" s="63">
        <v>396000</v>
      </c>
      <c r="I22" s="63">
        <v>334700</v>
      </c>
      <c r="J22" s="63">
        <v>481600</v>
      </c>
      <c r="K22" s="5">
        <v>305700</v>
      </c>
      <c r="L22" s="5">
        <v>306400</v>
      </c>
      <c r="M22" s="5">
        <v>469300</v>
      </c>
      <c r="N22" s="5"/>
      <c r="O22" s="4" t="s">
        <v>115</v>
      </c>
      <c r="P22" s="160">
        <v>5963.6</v>
      </c>
      <c r="Q22" s="160">
        <v>6101.8</v>
      </c>
      <c r="R22" s="95">
        <v>6279.7</v>
      </c>
      <c r="S22" s="95">
        <v>6463</v>
      </c>
      <c r="T22" s="95">
        <v>6598.5</v>
      </c>
      <c r="U22" s="63">
        <v>6744400</v>
      </c>
      <c r="V22" s="63">
        <v>6775700</v>
      </c>
      <c r="W22" s="63">
        <v>4400</v>
      </c>
      <c r="Y22" s="5">
        <v>600900</v>
      </c>
      <c r="Z22" s="5">
        <v>392200</v>
      </c>
    </row>
    <row r="23" spans="2:31" ht="17" thickBot="1" x14ac:dyDescent="0.25">
      <c r="B23" s="4"/>
      <c r="C23" s="160"/>
      <c r="D23" s="160"/>
      <c r="E23" s="95"/>
      <c r="F23" s="95"/>
      <c r="G23" s="95"/>
      <c r="H23" s="63"/>
      <c r="I23" s="63"/>
      <c r="J23" s="63"/>
      <c r="K23" s="5"/>
      <c r="L23" s="5"/>
      <c r="M23" s="5"/>
      <c r="N23" s="5"/>
      <c r="O23" s="4" t="s">
        <v>130</v>
      </c>
      <c r="P23" s="160">
        <v>8771.6</v>
      </c>
      <c r="Q23" s="160">
        <v>7924.8</v>
      </c>
      <c r="R23" s="95">
        <v>7515.2</v>
      </c>
      <c r="S23" s="95">
        <v>7738</v>
      </c>
      <c r="T23" s="95">
        <v>7661.7</v>
      </c>
      <c r="U23" s="63">
        <v>0</v>
      </c>
      <c r="V23" s="63">
        <v>0</v>
      </c>
      <c r="W23" s="63"/>
      <c r="Y23" s="5"/>
      <c r="Z23" s="5"/>
    </row>
    <row r="24" spans="2:31" ht="17" thickBot="1" x14ac:dyDescent="0.25">
      <c r="B24" s="4" t="s">
        <v>41</v>
      </c>
      <c r="C24" s="160"/>
      <c r="D24" s="160"/>
      <c r="E24" s="95"/>
      <c r="F24" s="95"/>
      <c r="G24" s="95"/>
      <c r="H24" s="63"/>
      <c r="I24" s="63"/>
      <c r="J24" s="63">
        <v>0</v>
      </c>
      <c r="K24" s="5">
        <v>48800</v>
      </c>
      <c r="L24" s="5">
        <v>45600</v>
      </c>
      <c r="M24" s="5">
        <v>45600</v>
      </c>
      <c r="N24" s="5"/>
      <c r="O24" s="4" t="s">
        <v>40</v>
      </c>
      <c r="P24" s="160">
        <v>656.2</v>
      </c>
      <c r="Q24" s="160">
        <v>513.79999999999995</v>
      </c>
      <c r="R24" s="95">
        <v>610.5</v>
      </c>
      <c r="S24" s="95">
        <v>737.8</v>
      </c>
      <c r="T24" s="95">
        <v>907.3</v>
      </c>
      <c r="U24" s="63">
        <v>1370500</v>
      </c>
      <c r="V24" s="63">
        <v>1430500</v>
      </c>
      <c r="W24" s="63">
        <f>755300-4400</f>
        <v>750900</v>
      </c>
      <c r="X24" s="5">
        <v>689700</v>
      </c>
      <c r="Y24" s="7">
        <f>+Y21+Y22</f>
        <v>2948400</v>
      </c>
      <c r="Z24" s="7">
        <f>+Z21+Z22</f>
        <v>2440500</v>
      </c>
    </row>
    <row r="25" spans="2:31" ht="17" thickBot="1" x14ac:dyDescent="0.25">
      <c r="B25" s="6" t="s">
        <v>43</v>
      </c>
      <c r="C25" s="111">
        <v>463.9</v>
      </c>
      <c r="D25" s="111">
        <f t="shared" ref="D25:F25" si="5">SUM(D22:D24)</f>
        <v>439.9</v>
      </c>
      <c r="E25" s="111">
        <f t="shared" si="5"/>
        <v>311.2</v>
      </c>
      <c r="F25" s="111">
        <f t="shared" si="5"/>
        <v>268.5</v>
      </c>
      <c r="G25" s="111">
        <f>SUM(G22:G24)</f>
        <v>478.7</v>
      </c>
      <c r="H25" s="65">
        <f>SUM(H22:H24)</f>
        <v>396000</v>
      </c>
      <c r="I25" s="65">
        <f>SUM(I22:I24)</f>
        <v>334700</v>
      </c>
      <c r="J25" s="65">
        <f>SUM(J22:J24)</f>
        <v>481600</v>
      </c>
      <c r="K25" s="7">
        <f>+K22+K24</f>
        <v>354500</v>
      </c>
      <c r="L25" s="7">
        <f t="shared" ref="L25:M25" si="6">+L22+L24</f>
        <v>352000</v>
      </c>
      <c r="M25" s="7">
        <f t="shared" si="6"/>
        <v>514900</v>
      </c>
      <c r="N25" s="5"/>
      <c r="O25" s="6" t="s">
        <v>42</v>
      </c>
      <c r="P25" s="116">
        <f>SUM(P21:P24)</f>
        <v>29710.899999999998</v>
      </c>
      <c r="Q25" s="116">
        <f t="shared" ref="Q25" si="7">+Q21+Q22+Q23+Q24</f>
        <v>28088</v>
      </c>
      <c r="R25" s="116">
        <f t="shared" ref="R25:S25" si="8">+R21+R22+R23+R24</f>
        <v>27525.3</v>
      </c>
      <c r="S25" s="116">
        <f t="shared" si="8"/>
        <v>28555.7</v>
      </c>
      <c r="T25" s="116">
        <f>+T21+T22+T23+T24</f>
        <v>29827.1</v>
      </c>
      <c r="U25" s="7">
        <f>+U21+U22+U24</f>
        <v>19281900</v>
      </c>
      <c r="V25" s="7">
        <f>+V21+V22+V24</f>
        <v>17296400</v>
      </c>
      <c r="W25" s="7">
        <f>+W21+W22+W24</f>
        <v>4687900</v>
      </c>
      <c r="X25" s="7">
        <f>+X21+X24</f>
        <v>3891900</v>
      </c>
      <c r="Y25" s="7">
        <f t="shared" ref="Y25:Z25" si="9">+Y20+Y24</f>
        <v>6596500</v>
      </c>
      <c r="Z25" s="7">
        <f t="shared" si="9"/>
        <v>5479200</v>
      </c>
    </row>
    <row r="26" spans="2:31" ht="16" x14ac:dyDescent="0.2">
      <c r="B26" s="4" t="s">
        <v>45</v>
      </c>
      <c r="C26" s="160">
        <v>8665.5</v>
      </c>
      <c r="D26" s="160">
        <v>7387.1</v>
      </c>
      <c r="E26" s="95">
        <v>6560.5</v>
      </c>
      <c r="F26" s="95">
        <v>6369.5</v>
      </c>
      <c r="G26" s="95">
        <v>6241.4</v>
      </c>
      <c r="H26" s="63">
        <v>6431700</v>
      </c>
      <c r="I26" s="63">
        <v>5929100</v>
      </c>
      <c r="J26" s="63">
        <v>4919500</v>
      </c>
      <c r="K26" s="5">
        <v>4533800</v>
      </c>
      <c r="L26" s="5">
        <v>4088300</v>
      </c>
      <c r="M26" s="5">
        <v>3519000</v>
      </c>
      <c r="N26" s="5"/>
      <c r="O26" s="6" t="s">
        <v>44</v>
      </c>
      <c r="P26" s="116">
        <f>P20+P25</f>
        <v>38780.899999999994</v>
      </c>
      <c r="Q26" s="116">
        <f t="shared" ref="Q26" si="10">+Q20+Q25</f>
        <v>37433.300000000003</v>
      </c>
      <c r="R26" s="116">
        <f t="shared" ref="R26:S26" si="11">+R20+R25</f>
        <v>36677.1</v>
      </c>
      <c r="S26" s="116">
        <f t="shared" si="11"/>
        <v>36707.1</v>
      </c>
      <c r="T26" s="116">
        <f>+T20+T25</f>
        <v>37173.9</v>
      </c>
      <c r="U26" s="7">
        <f>+U20+U25</f>
        <v>25450600</v>
      </c>
      <c r="V26" s="7">
        <f>+V20+V25</f>
        <v>22980600</v>
      </c>
      <c r="W26" s="7">
        <f>+W20+W25</f>
        <v>8908600</v>
      </c>
      <c r="X26" s="7">
        <f>+X20+X25</f>
        <v>8438800</v>
      </c>
      <c r="Y26" s="5">
        <v>1500</v>
      </c>
      <c r="Z26" s="5">
        <v>700</v>
      </c>
    </row>
    <row r="27" spans="2:31" ht="16" x14ac:dyDescent="0.2">
      <c r="B27" s="4" t="s">
        <v>34</v>
      </c>
      <c r="C27" s="160">
        <v>1766.7</v>
      </c>
      <c r="D27" s="160">
        <v>1769.8</v>
      </c>
      <c r="E27" s="95">
        <v>1799.7</v>
      </c>
      <c r="F27" s="95">
        <v>1874.8</v>
      </c>
      <c r="G27" s="95">
        <v>1789.9</v>
      </c>
      <c r="H27" s="63">
        <v>1765800</v>
      </c>
      <c r="I27" s="63">
        <v>134700</v>
      </c>
      <c r="J27" s="63">
        <v>795400</v>
      </c>
      <c r="K27" s="5">
        <v>885400</v>
      </c>
      <c r="L27" s="5">
        <v>1180800</v>
      </c>
      <c r="M27" s="5">
        <v>903300</v>
      </c>
      <c r="O27" s="4" t="s">
        <v>54</v>
      </c>
      <c r="P27" s="160">
        <v>1.1000000000000001</v>
      </c>
      <c r="Q27" s="160">
        <v>1.1000000000000001</v>
      </c>
      <c r="R27" s="95">
        <v>1.1000000000000001</v>
      </c>
      <c r="S27" s="95">
        <v>1.2</v>
      </c>
      <c r="T27" s="95">
        <v>1.2</v>
      </c>
      <c r="U27" s="63">
        <v>1200</v>
      </c>
      <c r="V27" s="63">
        <v>1300</v>
      </c>
      <c r="W27" s="63">
        <v>1400</v>
      </c>
      <c r="X27" s="5">
        <v>1500</v>
      </c>
      <c r="Y27" s="5">
        <v>41100</v>
      </c>
      <c r="Z27" s="5">
        <v>39400</v>
      </c>
    </row>
    <row r="28" spans="2:31" ht="16" x14ac:dyDescent="0.2">
      <c r="B28" s="4" t="s">
        <v>47</v>
      </c>
      <c r="C28" s="160">
        <v>617</v>
      </c>
      <c r="D28" s="160">
        <v>546.5</v>
      </c>
      <c r="E28" s="95">
        <v>554.20000000000005</v>
      </c>
      <c r="F28" s="95">
        <v>578.5</v>
      </c>
      <c r="G28" s="95">
        <v>568.6</v>
      </c>
      <c r="H28" s="63">
        <v>479600</v>
      </c>
      <c r="I28" s="63">
        <v>412200</v>
      </c>
      <c r="J28" s="63">
        <v>362800</v>
      </c>
      <c r="K28" s="5">
        <v>417700</v>
      </c>
      <c r="L28" s="5">
        <v>415900</v>
      </c>
      <c r="M28" s="5">
        <v>198900</v>
      </c>
      <c r="O28" s="4" t="s">
        <v>46</v>
      </c>
      <c r="P28" s="160">
        <v>322.60000000000002</v>
      </c>
      <c r="Q28" s="160">
        <v>38.1</v>
      </c>
      <c r="R28" s="95">
        <v>205.3</v>
      </c>
      <c r="S28" s="95">
        <v>846.1</v>
      </c>
      <c r="T28" s="95">
        <v>373.9</v>
      </c>
      <c r="U28" s="63">
        <v>41100</v>
      </c>
      <c r="V28" s="63">
        <v>41100</v>
      </c>
      <c r="W28" s="63">
        <v>41100</v>
      </c>
      <c r="X28" s="5">
        <v>41100</v>
      </c>
      <c r="Y28" s="5">
        <v>5974800</v>
      </c>
      <c r="Z28" s="5">
        <v>5206600</v>
      </c>
    </row>
    <row r="29" spans="2:31" ht="17" thickBot="1" x14ac:dyDescent="0.25">
      <c r="B29" s="4" t="s">
        <v>48</v>
      </c>
      <c r="C29" s="160">
        <v>100.9</v>
      </c>
      <c r="D29" s="160">
        <v>120.5</v>
      </c>
      <c r="E29" s="95">
        <v>155.9</v>
      </c>
      <c r="F29" s="95">
        <v>349.9</v>
      </c>
      <c r="G29" s="95">
        <v>552.1</v>
      </c>
      <c r="H29" s="63">
        <v>781800</v>
      </c>
      <c r="I29" s="63">
        <v>1042200</v>
      </c>
      <c r="J29" s="63">
        <v>441400</v>
      </c>
      <c r="K29" s="5">
        <v>516300</v>
      </c>
      <c r="L29" s="5">
        <v>520400</v>
      </c>
      <c r="M29" s="5">
        <v>273500</v>
      </c>
      <c r="O29" s="4" t="s">
        <v>140</v>
      </c>
      <c r="P29" s="160">
        <v>-7343.8</v>
      </c>
      <c r="Q29" s="160">
        <v>-7255.8</v>
      </c>
      <c r="R29" s="95">
        <v>-8449.7999999999993</v>
      </c>
      <c r="S29" s="95">
        <v>-6315.7</v>
      </c>
      <c r="T29" s="95">
        <v>-7815.6</v>
      </c>
      <c r="U29" s="63">
        <v>-5771200</v>
      </c>
      <c r="V29" s="63">
        <v>1457400</v>
      </c>
      <c r="W29" s="63">
        <v>5563200</v>
      </c>
      <c r="X29" s="5">
        <v>5949800</v>
      </c>
      <c r="Y29" s="5">
        <v>-199400</v>
      </c>
      <c r="Z29" s="5">
        <v>25300</v>
      </c>
      <c r="AC29" s="18"/>
      <c r="AD29" s="18"/>
      <c r="AE29" s="18"/>
    </row>
    <row r="30" spans="2:31" ht="14.75" customHeight="1" thickBot="1" x14ac:dyDescent="0.25">
      <c r="B30" s="4" t="s">
        <v>49</v>
      </c>
      <c r="C30" s="160">
        <v>3315.7</v>
      </c>
      <c r="D30" s="160">
        <v>3218.3</v>
      </c>
      <c r="E30" s="95">
        <v>3283.5</v>
      </c>
      <c r="F30" s="95">
        <v>3677.3</v>
      </c>
      <c r="G30" s="114">
        <v>3597.2</v>
      </c>
      <c r="H30" s="66">
        <v>3490800</v>
      </c>
      <c r="I30" s="66">
        <v>3541600</v>
      </c>
      <c r="J30" s="66">
        <v>1539200</v>
      </c>
      <c r="K30" s="5">
        <v>1719600</v>
      </c>
      <c r="L30" s="5">
        <v>1575400</v>
      </c>
      <c r="M30" s="5">
        <v>856200</v>
      </c>
      <c r="O30" s="4" t="s">
        <v>141</v>
      </c>
      <c r="P30" s="160">
        <v>-428.8</v>
      </c>
      <c r="Q30" s="160">
        <v>-778.2</v>
      </c>
      <c r="R30" s="95">
        <v>-463.2</v>
      </c>
      <c r="S30" s="95">
        <v>147.19999999999999</v>
      </c>
      <c r="T30" s="95">
        <v>-364.6</v>
      </c>
      <c r="U30" s="63">
        <v>-503300</v>
      </c>
      <c r="V30" s="63">
        <v>-330300</v>
      </c>
      <c r="W30" s="63">
        <v>-155600</v>
      </c>
      <c r="X30" s="5">
        <v>-108400</v>
      </c>
      <c r="Y30" s="7"/>
      <c r="Z30" s="7"/>
    </row>
    <row r="31" spans="2:31" ht="17" thickBot="1" x14ac:dyDescent="0.25">
      <c r="B31" s="4" t="s">
        <v>132</v>
      </c>
      <c r="C31" s="160">
        <v>9286.2000000000007</v>
      </c>
      <c r="D31" s="160">
        <v>8412.6</v>
      </c>
      <c r="E31" s="95">
        <v>8015.6</v>
      </c>
      <c r="F31" s="95">
        <v>8236</v>
      </c>
      <c r="G31" s="114">
        <v>8134.1</v>
      </c>
      <c r="H31" s="66">
        <v>0</v>
      </c>
      <c r="I31" s="66">
        <v>0</v>
      </c>
      <c r="J31" s="66"/>
      <c r="K31" s="5"/>
      <c r="L31" s="5"/>
      <c r="M31" s="5"/>
      <c r="O31" s="4"/>
      <c r="P31" s="160"/>
      <c r="Q31" s="160"/>
      <c r="R31" s="95"/>
      <c r="S31" s="95"/>
      <c r="T31" s="95"/>
      <c r="U31" s="63"/>
      <c r="V31" s="63"/>
      <c r="W31" s="63"/>
      <c r="X31" s="5"/>
      <c r="Y31" s="7"/>
      <c r="Z31" s="7"/>
    </row>
    <row r="32" spans="2:31" ht="16" x14ac:dyDescent="0.2">
      <c r="B32" s="6" t="s">
        <v>50</v>
      </c>
      <c r="C32" s="111">
        <f>SUM(C21:C31)</f>
        <v>24955.8</v>
      </c>
      <c r="D32" s="111">
        <f t="shared" ref="D32:F32" si="12">SUM(D25:D31)+D21</f>
        <v>22142.1</v>
      </c>
      <c r="E32" s="111">
        <f t="shared" si="12"/>
        <v>20959.699999999997</v>
      </c>
      <c r="F32" s="111">
        <f t="shared" si="12"/>
        <v>21636.2</v>
      </c>
      <c r="G32" s="111">
        <f>SUM(G25:G31)+G21</f>
        <v>21568.1</v>
      </c>
      <c r="H32" s="7">
        <f t="shared" ref="H32:M32" si="13">+H21+H25+H26+H27+H28+H29+H30</f>
        <v>13565700</v>
      </c>
      <c r="I32" s="7">
        <f t="shared" si="13"/>
        <v>11662200</v>
      </c>
      <c r="J32" s="7">
        <f t="shared" si="13"/>
        <v>9082200</v>
      </c>
      <c r="K32" s="7">
        <f t="shared" si="13"/>
        <v>9569000</v>
      </c>
      <c r="L32" s="7">
        <f t="shared" si="13"/>
        <v>8445300</v>
      </c>
      <c r="M32" s="7">
        <f t="shared" si="13"/>
        <v>6584200</v>
      </c>
      <c r="O32" s="6" t="s">
        <v>51</v>
      </c>
      <c r="P32" s="116">
        <v>-7448.9</v>
      </c>
      <c r="Q32" s="116">
        <f t="shared" ref="Q32:S32" si="14">SUM(Q27:Q30)</f>
        <v>-7994.8</v>
      </c>
      <c r="R32" s="116">
        <f t="shared" si="14"/>
        <v>-8706.6</v>
      </c>
      <c r="S32" s="116">
        <f t="shared" si="14"/>
        <v>-5321.2</v>
      </c>
      <c r="T32" s="116">
        <f>SUM(T27:T30)</f>
        <v>-7805.1</v>
      </c>
      <c r="U32" s="7">
        <f>SUM(U27:U30)</f>
        <v>-6232200</v>
      </c>
      <c r="V32" s="7">
        <f>SUM(V27:V30)</f>
        <v>1169500</v>
      </c>
      <c r="W32" s="7">
        <f>SUM(W27:W30)</f>
        <v>5450100</v>
      </c>
      <c r="X32" s="7">
        <f>SUM(X27:X30)</f>
        <v>5884000</v>
      </c>
      <c r="Y32" s="7">
        <f>SUM(Y26:Y29)</f>
        <v>5818000</v>
      </c>
      <c r="Z32" s="7">
        <f>SUM(Z26:Z29)</f>
        <v>5272000</v>
      </c>
      <c r="AA32" s="23"/>
      <c r="AB32" s="27"/>
    </row>
    <row r="33" spans="2:31" ht="16" x14ac:dyDescent="0.2">
      <c r="C33" s="161"/>
      <c r="D33" s="161"/>
      <c r="E33" s="110"/>
      <c r="F33" s="110"/>
      <c r="G33" s="110"/>
      <c r="H33"/>
      <c r="J33" s="23"/>
      <c r="N33" s="12"/>
      <c r="O33" s="4" t="s">
        <v>80</v>
      </c>
      <c r="P33" s="160">
        <v>7.3</v>
      </c>
      <c r="Q33" s="160">
        <v>7</v>
      </c>
      <c r="R33" s="95">
        <v>7.9</v>
      </c>
      <c r="S33" s="95">
        <v>6.7</v>
      </c>
      <c r="T33" s="95">
        <v>5.7</v>
      </c>
      <c r="U33" s="63">
        <v>1200</v>
      </c>
      <c r="V33" s="63">
        <v>6300</v>
      </c>
      <c r="W33" s="63">
        <v>6900</v>
      </c>
      <c r="X33" s="5">
        <v>6700</v>
      </c>
      <c r="Y33" s="5">
        <v>1800</v>
      </c>
      <c r="Z33" s="5">
        <v>1700</v>
      </c>
    </row>
    <row r="34" spans="2:31" ht="14.75" customHeight="1" thickBot="1" x14ac:dyDescent="0.25">
      <c r="C34" s="161"/>
      <c r="D34" s="161"/>
      <c r="E34" s="110"/>
      <c r="F34" s="110"/>
      <c r="G34" s="110"/>
      <c r="H34"/>
      <c r="J34" s="23"/>
      <c r="N34" s="12"/>
      <c r="O34" s="4" t="s">
        <v>146</v>
      </c>
      <c r="P34" s="138">
        <v>-7441.6</v>
      </c>
      <c r="Q34" s="138">
        <f>+Q32-Q33</f>
        <v>-8001.8</v>
      </c>
      <c r="R34" s="138">
        <f>+R32-R33</f>
        <v>-8714.5</v>
      </c>
      <c r="S34" s="138">
        <f t="shared" ref="S34:V34" si="15">+S32-S33</f>
        <v>-5327.9</v>
      </c>
      <c r="T34" s="138">
        <f t="shared" si="15"/>
        <v>-7810.8</v>
      </c>
      <c r="U34" s="138">
        <f t="shared" si="15"/>
        <v>-6233400</v>
      </c>
      <c r="V34" s="138">
        <f t="shared" si="15"/>
        <v>1163200</v>
      </c>
      <c r="W34" s="138">
        <f t="shared" ref="W34" si="16">+W32-W33</f>
        <v>5443200</v>
      </c>
      <c r="X34" s="138">
        <f t="shared" ref="X34" si="17">+X32-X33</f>
        <v>5877300</v>
      </c>
      <c r="Y34" s="138">
        <f t="shared" ref="Y34" si="18">+Y32-Y33</f>
        <v>5816200</v>
      </c>
      <c r="Z34" s="138">
        <f t="shared" ref="Z34" si="19">+Z32-Z33</f>
        <v>5270300</v>
      </c>
    </row>
    <row r="35" spans="2:31" ht="17" thickBot="1" x14ac:dyDescent="0.25">
      <c r="B35" s="32" t="s">
        <v>52</v>
      </c>
      <c r="C35" s="117">
        <f>C20+C32</f>
        <v>31803.200000000001</v>
      </c>
      <c r="D35" s="117">
        <f t="shared" ref="D35:M35" si="20">+D20+D32</f>
        <v>29445.5</v>
      </c>
      <c r="E35" s="117">
        <f t="shared" si="20"/>
        <v>27978.399999999998</v>
      </c>
      <c r="F35" s="117">
        <f t="shared" si="20"/>
        <v>31392.6</v>
      </c>
      <c r="G35" s="115">
        <f t="shared" si="20"/>
        <v>29374.5</v>
      </c>
      <c r="H35" s="36">
        <f t="shared" si="20"/>
        <v>19219600</v>
      </c>
      <c r="I35" s="36">
        <f t="shared" si="20"/>
        <v>24156400</v>
      </c>
      <c r="J35" s="36">
        <f t="shared" si="20"/>
        <v>14365600</v>
      </c>
      <c r="K35" s="36">
        <f t="shared" si="20"/>
        <v>14329500</v>
      </c>
      <c r="L35" s="36">
        <f t="shared" si="20"/>
        <v>12416300</v>
      </c>
      <c r="M35" s="36">
        <f t="shared" si="20"/>
        <v>10752900</v>
      </c>
      <c r="N35" s="35"/>
      <c r="O35" s="32" t="s">
        <v>55</v>
      </c>
      <c r="P35" s="117">
        <f>P34+P26</f>
        <v>31339.299999999996</v>
      </c>
      <c r="Q35" s="117">
        <f t="shared" ref="Q35:S35" si="21">+Q26+Q32+Q33</f>
        <v>29445.500000000004</v>
      </c>
      <c r="R35" s="117">
        <f t="shared" si="21"/>
        <v>27978.400000000001</v>
      </c>
      <c r="S35" s="117">
        <f t="shared" si="21"/>
        <v>31392.6</v>
      </c>
      <c r="T35" s="117">
        <f>+T26+T32+T33</f>
        <v>29374.500000000004</v>
      </c>
      <c r="U35" s="73">
        <f>+U26+U32+U33</f>
        <v>19219600</v>
      </c>
      <c r="V35" s="73">
        <f>+V26+V32+V33</f>
        <v>24156400</v>
      </c>
      <c r="W35" s="36">
        <f>+W26+W32+W33</f>
        <v>14365600</v>
      </c>
      <c r="X35" s="36">
        <f>+X26+X32+X33</f>
        <v>14329500</v>
      </c>
      <c r="Y35" s="36">
        <f>+Y25+Y32+Y33</f>
        <v>12416300</v>
      </c>
      <c r="Z35" s="36">
        <f>+Z25+Z32+Z33</f>
        <v>10752900</v>
      </c>
    </row>
    <row r="36" spans="2:31" ht="16" thickTop="1" x14ac:dyDescent="0.2">
      <c r="B36" s="8"/>
      <c r="C36" s="8"/>
      <c r="D36" s="8"/>
      <c r="E36" s="8"/>
      <c r="F36" s="8"/>
      <c r="G36" s="8"/>
      <c r="H36" s="101"/>
      <c r="I36" s="8"/>
      <c r="J36" s="8"/>
      <c r="K36" s="30"/>
      <c r="Q36" s="163"/>
    </row>
    <row r="37" spans="2:31" x14ac:dyDescent="0.2">
      <c r="I37" s="22"/>
    </row>
    <row r="41" spans="2:31" x14ac:dyDescent="0.2"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2:31" x14ac:dyDescent="0.2">
      <c r="O42" s="23"/>
      <c r="P42" s="23"/>
      <c r="Q42" s="23"/>
      <c r="R42" s="23"/>
      <c r="S42" s="23"/>
      <c r="T42" s="23"/>
      <c r="U42" s="23"/>
      <c r="V42" s="23"/>
      <c r="W42" s="23"/>
      <c r="X42" s="23"/>
      <c r="AC42" s="18"/>
      <c r="AD42" s="18"/>
      <c r="AE42" s="18"/>
    </row>
    <row r="43" spans="2:31" x14ac:dyDescent="0.2">
      <c r="N43" s="29"/>
      <c r="AC43" s="18"/>
      <c r="AD43" s="18"/>
      <c r="AE43" s="18"/>
    </row>
    <row r="45" spans="2:31" x14ac:dyDescent="0.2"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spans="2:31" x14ac:dyDescent="0.2">
      <c r="O46" s="21"/>
      <c r="P46" s="21"/>
      <c r="Q46" s="21"/>
      <c r="R46" s="21"/>
      <c r="S46" s="21"/>
      <c r="T46" s="21"/>
      <c r="U46" s="21"/>
      <c r="V46" s="21"/>
      <c r="W46" s="21"/>
      <c r="AC46" s="18">
        <f t="shared" ref="AC46" si="22">+AC45+AC44</f>
        <v>0</v>
      </c>
    </row>
    <row r="47" spans="2:31" x14ac:dyDescent="0.2">
      <c r="O47" s="23"/>
      <c r="P47" s="23"/>
      <c r="Q47" s="23"/>
      <c r="R47" s="23"/>
      <c r="S47" s="23"/>
      <c r="T47" s="23"/>
      <c r="U47" s="23"/>
      <c r="V47" s="23"/>
      <c r="W47" s="23"/>
    </row>
    <row r="48" spans="2:31" x14ac:dyDescent="0.2">
      <c r="N48" s="28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spans="15:28" x14ac:dyDescent="0.2">
      <c r="O49" s="23"/>
      <c r="P49" s="23"/>
      <c r="Q49" s="23"/>
      <c r="R49" s="23"/>
      <c r="S49" s="23"/>
      <c r="T49" s="23"/>
      <c r="U49" s="23"/>
      <c r="V49" s="23"/>
      <c r="W49" s="23"/>
      <c r="AB49" s="23"/>
    </row>
    <row r="50" spans="15:28" x14ac:dyDescent="0.2">
      <c r="O50" s="23"/>
      <c r="P50" s="23"/>
      <c r="Q50" s="23"/>
      <c r="R50" s="23"/>
      <c r="S50" s="23"/>
      <c r="T50" s="23"/>
      <c r="U50" s="23"/>
      <c r="V50" s="23"/>
      <c r="W50" s="23"/>
    </row>
    <row r="51" spans="15:28" x14ac:dyDescent="0.2">
      <c r="O51" s="23"/>
      <c r="P51" s="23"/>
      <c r="Q51" s="23"/>
      <c r="R51" s="23"/>
      <c r="S51" s="23"/>
      <c r="T51" s="23"/>
      <c r="U51" s="23"/>
      <c r="V51" s="23"/>
      <c r="W51" s="23"/>
      <c r="Z51" s="18"/>
    </row>
    <row r="52" spans="15:28" x14ac:dyDescent="0.2">
      <c r="O52" s="23"/>
      <c r="P52" s="23"/>
      <c r="Q52" s="23"/>
      <c r="R52" s="23"/>
      <c r="S52" s="23"/>
      <c r="T52" s="23"/>
      <c r="U52" s="23"/>
      <c r="V52" s="23"/>
      <c r="W52" s="23"/>
    </row>
    <row r="84" spans="1:13" x14ac:dyDescent="0.2">
      <c r="L84" s="21"/>
      <c r="M84" s="21"/>
    </row>
    <row r="85" spans="1:13" x14ac:dyDescent="0.2">
      <c r="A85" s="21"/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</row>
    <row r="86" spans="1:13" x14ac:dyDescent="0.2">
      <c r="A86" s="26"/>
      <c r="B86" s="25"/>
      <c r="C86" s="25"/>
      <c r="D86" s="25"/>
      <c r="E86" s="25"/>
      <c r="F86" s="25"/>
      <c r="G86" s="25"/>
      <c r="H86" s="102"/>
      <c r="I86" s="25"/>
      <c r="J86" s="25"/>
      <c r="L86" s="26"/>
      <c r="M86" s="26"/>
    </row>
    <row r="87" spans="1:13" x14ac:dyDescent="0.2">
      <c r="A87" s="26"/>
      <c r="B87" s="26"/>
      <c r="H87" s="103"/>
      <c r="L87" s="26"/>
      <c r="M87" s="26"/>
    </row>
    <row r="88" spans="1:13" x14ac:dyDescent="0.2">
      <c r="A88" s="26"/>
      <c r="B88" s="26"/>
      <c r="H88" s="103"/>
      <c r="L88" s="26"/>
      <c r="M88" s="26"/>
    </row>
    <row r="89" spans="1:13" x14ac:dyDescent="0.2">
      <c r="A89" s="26"/>
      <c r="B89" s="26"/>
      <c r="H89" s="103"/>
      <c r="L89" s="26"/>
      <c r="M89" s="26"/>
    </row>
    <row r="92" spans="1:13" x14ac:dyDescent="0.2">
      <c r="A92" s="26"/>
      <c r="B92" s="26"/>
      <c r="H92" s="103"/>
      <c r="L92" s="26"/>
      <c r="M92" s="26"/>
    </row>
    <row r="93" spans="1:13" x14ac:dyDescent="0.2">
      <c r="A93" s="26"/>
      <c r="B93" s="26"/>
      <c r="H93" s="103"/>
      <c r="L93" s="25"/>
      <c r="M93" s="25"/>
    </row>
    <row r="94" spans="1:13" x14ac:dyDescent="0.2">
      <c r="A94" s="26"/>
      <c r="B94" s="26"/>
      <c r="H94" s="103"/>
      <c r="L94" s="26"/>
      <c r="M94" s="26"/>
    </row>
    <row r="95" spans="1:13" x14ac:dyDescent="0.2">
      <c r="A95" s="26"/>
      <c r="B95" s="26"/>
      <c r="H95" s="103"/>
      <c r="L95" s="26"/>
      <c r="M95" s="26"/>
    </row>
    <row r="98" spans="1:13" x14ac:dyDescent="0.2">
      <c r="A98" s="26"/>
      <c r="B98" s="26"/>
      <c r="H98" s="103"/>
      <c r="L98" s="26"/>
      <c r="M98" s="26"/>
    </row>
    <row r="99" spans="1:13" x14ac:dyDescent="0.2">
      <c r="A99" s="26"/>
      <c r="B99" s="26"/>
      <c r="H99" s="103"/>
      <c r="L99" s="26"/>
      <c r="M99" s="26"/>
    </row>
    <row r="100" spans="1:13" x14ac:dyDescent="0.2">
      <c r="A100" s="26"/>
      <c r="B100" s="26"/>
      <c r="H100" s="103"/>
      <c r="L100" s="26"/>
      <c r="M100" s="26"/>
    </row>
    <row r="101" spans="1:13" x14ac:dyDescent="0.2">
      <c r="A101" s="26"/>
      <c r="B101" s="26"/>
      <c r="H101" s="103"/>
      <c r="L101" s="26"/>
      <c r="M101" s="26"/>
    </row>
    <row r="104" spans="1:13" x14ac:dyDescent="0.2">
      <c r="A104" s="26"/>
      <c r="B104" s="26"/>
      <c r="H104" s="103"/>
      <c r="L104" s="26"/>
      <c r="M104" s="26"/>
    </row>
    <row r="105" spans="1:13" x14ac:dyDescent="0.2">
      <c r="A105" s="26"/>
      <c r="B105" s="26"/>
      <c r="H105" s="103"/>
      <c r="L105" s="26"/>
      <c r="M105" s="26"/>
    </row>
    <row r="106" spans="1:13" x14ac:dyDescent="0.2">
      <c r="A106" s="26"/>
      <c r="B106" s="26"/>
      <c r="H106" s="103"/>
      <c r="L106" s="26"/>
      <c r="M106" s="26"/>
    </row>
    <row r="107" spans="1:13" x14ac:dyDescent="0.2">
      <c r="A107" s="26"/>
      <c r="B107" s="26"/>
      <c r="H107" s="103"/>
      <c r="L107" s="26"/>
      <c r="M107" s="26"/>
    </row>
  </sheetData>
  <mergeCells count="2">
    <mergeCell ref="B5:S5"/>
    <mergeCell ref="B6:S6"/>
  </mergeCells>
  <phoneticPr fontId="20" type="noConversion"/>
  <pageMargins left="0.7" right="0.7" top="0.75" bottom="0.75" header="0.3" footer="0.3"/>
  <pageSetup scale="75" orientation="landscape" r:id="rId1"/>
  <ignoredErrors>
    <ignoredError sqref="R9:V9 E9:O9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R51"/>
  <sheetViews>
    <sheetView topLeftCell="C1" zoomScale="80" zoomScaleNormal="80" workbookViewId="0">
      <selection activeCell="D38" sqref="D38"/>
    </sheetView>
  </sheetViews>
  <sheetFormatPr baseColWidth="10" defaultColWidth="8.83203125" defaultRowHeight="15" x14ac:dyDescent="0.2"/>
  <cols>
    <col min="3" max="3" width="59" customWidth="1"/>
    <col min="4" max="8" width="15.6640625" customWidth="1"/>
    <col min="9" max="14" width="15.6640625" hidden="1" customWidth="1"/>
    <col min="15" max="15" width="9" customWidth="1"/>
    <col min="16" max="16" width="14.33203125" customWidth="1"/>
    <col min="17" max="17" width="10.5" customWidth="1"/>
    <col min="18" max="18" width="10.5" bestFit="1" customWidth="1"/>
  </cols>
  <sheetData>
    <row r="2" spans="3:17" x14ac:dyDescent="0.2">
      <c r="C2" s="189" t="s">
        <v>147</v>
      </c>
      <c r="D2" s="189"/>
      <c r="E2" s="189"/>
      <c r="F2" s="189"/>
      <c r="G2" s="189"/>
    </row>
    <row r="3" spans="3:17" x14ac:dyDescent="0.2">
      <c r="C3" s="189" t="s">
        <v>151</v>
      </c>
      <c r="D3" s="189"/>
      <c r="E3" s="189"/>
      <c r="F3" s="189"/>
      <c r="G3" s="189"/>
      <c r="H3" s="31"/>
      <c r="I3" s="31"/>
      <c r="J3" s="31"/>
      <c r="K3" s="31"/>
    </row>
    <row r="4" spans="3:17" x14ac:dyDescent="0.2">
      <c r="C4" t="s">
        <v>0</v>
      </c>
    </row>
    <row r="5" spans="3:17" ht="16" thickBot="1" x14ac:dyDescent="0.25"/>
    <row r="6" spans="3:17" ht="16" thickBot="1" x14ac:dyDescent="0.25">
      <c r="C6" s="2" t="s">
        <v>1</v>
      </c>
      <c r="D6" s="166" t="str">
        <f>+'SBUX Income Statement'!C6</f>
        <v>9/29/24</v>
      </c>
      <c r="E6" s="166" t="str">
        <f>+'SBUX Income Statement'!D6</f>
        <v>10/1/23</v>
      </c>
      <c r="F6" s="3" t="s">
        <v>144</v>
      </c>
      <c r="G6" s="3" t="s">
        <v>145</v>
      </c>
      <c r="H6" s="3" t="s">
        <v>131</v>
      </c>
      <c r="I6" s="3" t="s">
        <v>123</v>
      </c>
      <c r="J6" s="3" t="s">
        <v>123</v>
      </c>
      <c r="K6" s="3" t="s">
        <v>112</v>
      </c>
      <c r="L6" s="3" t="s">
        <v>2</v>
      </c>
      <c r="M6" s="3" t="s">
        <v>3</v>
      </c>
      <c r="N6" s="3" t="s">
        <v>4</v>
      </c>
    </row>
    <row r="7" spans="3:17" ht="16" x14ac:dyDescent="0.2">
      <c r="C7" s="4" t="s">
        <v>20</v>
      </c>
      <c r="D7" s="95">
        <v>3762.3</v>
      </c>
      <c r="E7" s="98">
        <v>4124.7</v>
      </c>
      <c r="F7" s="95">
        <v>3283.4</v>
      </c>
      <c r="G7" s="95">
        <v>4200.3</v>
      </c>
      <c r="H7" s="95">
        <v>924.7</v>
      </c>
      <c r="I7" s="77">
        <v>3594600</v>
      </c>
      <c r="J7" s="77">
        <v>4518000</v>
      </c>
      <c r="K7" s="63">
        <v>2884900</v>
      </c>
      <c r="L7" s="13">
        <v>2819000</v>
      </c>
      <c r="M7" s="13">
        <v>2759000</v>
      </c>
      <c r="N7" s="13">
        <v>2068000</v>
      </c>
      <c r="P7" s="144"/>
      <c r="Q7" s="141"/>
    </row>
    <row r="8" spans="3:17" ht="17" thickBot="1" x14ac:dyDescent="0.25">
      <c r="C8" s="4" t="s">
        <v>56</v>
      </c>
      <c r="D8" s="95">
        <v>1592.4</v>
      </c>
      <c r="E8" s="98">
        <v>1450.3</v>
      </c>
      <c r="F8" s="95">
        <v>1529.4</v>
      </c>
      <c r="G8" s="95">
        <v>1524.1</v>
      </c>
      <c r="H8" s="95">
        <v>1503.2</v>
      </c>
      <c r="I8" s="77">
        <v>1449300</v>
      </c>
      <c r="J8" s="77">
        <v>1305900</v>
      </c>
      <c r="K8" s="63">
        <v>1067100</v>
      </c>
      <c r="L8" s="14">
        <v>1030000</v>
      </c>
      <c r="M8" s="14">
        <v>934000</v>
      </c>
      <c r="N8" s="14">
        <v>748000</v>
      </c>
      <c r="P8" s="190" t="s">
        <v>121</v>
      </c>
      <c r="Q8" s="190"/>
    </row>
    <row r="9" spans="3:17" ht="17" thickBot="1" x14ac:dyDescent="0.25">
      <c r="C9" s="4" t="s">
        <v>129</v>
      </c>
      <c r="D9" s="95">
        <f>-306.4+333.3</f>
        <v>26.900000000000034</v>
      </c>
      <c r="E9" s="98">
        <f>-301.8+222.8</f>
        <v>-79</v>
      </c>
      <c r="F9" s="95">
        <f>-268.7+231.2</f>
        <v>-37.5</v>
      </c>
      <c r="G9" s="95">
        <f>-347.3+336</f>
        <v>-11.300000000000011</v>
      </c>
      <c r="H9" s="95">
        <f>-280.7+227.7</f>
        <v>-53</v>
      </c>
      <c r="I9" s="77">
        <f>-250600+216800</f>
        <v>-33800</v>
      </c>
      <c r="J9" s="77">
        <f>-242800+226800</f>
        <v>-16000</v>
      </c>
      <c r="K9" s="63">
        <f>-310200+186600</f>
        <v>-123600</v>
      </c>
      <c r="L9" s="14"/>
      <c r="M9" s="14"/>
      <c r="N9" s="14"/>
      <c r="P9" s="145"/>
      <c r="Q9" s="145"/>
    </row>
    <row r="10" spans="3:17" ht="17" thickBot="1" x14ac:dyDescent="0.25">
      <c r="C10" s="4" t="s">
        <v>13</v>
      </c>
      <c r="D10" s="95">
        <v>0</v>
      </c>
      <c r="E10" s="98">
        <v>-91.3</v>
      </c>
      <c r="F10" s="95">
        <v>0</v>
      </c>
      <c r="G10" s="95">
        <v>-864.5</v>
      </c>
      <c r="H10" s="95">
        <v>0</v>
      </c>
      <c r="I10" s="77">
        <v>-622800</v>
      </c>
      <c r="J10" s="77">
        <v>-499200</v>
      </c>
      <c r="K10" s="63">
        <v>-93500</v>
      </c>
      <c r="L10" s="15"/>
      <c r="M10" s="15"/>
      <c r="N10" s="14">
        <v>-70000</v>
      </c>
      <c r="P10" s="146" t="s">
        <v>114</v>
      </c>
      <c r="Q10" s="146" t="s">
        <v>112</v>
      </c>
    </row>
    <row r="11" spans="3:17" ht="16" x14ac:dyDescent="0.2">
      <c r="C11" s="4" t="s">
        <v>116</v>
      </c>
      <c r="D11" s="95"/>
      <c r="E11" s="98"/>
      <c r="F11" s="95">
        <v>0</v>
      </c>
      <c r="G11" s="95">
        <v>0</v>
      </c>
      <c r="H11" s="95"/>
      <c r="I11" s="77">
        <v>0</v>
      </c>
      <c r="J11" s="77">
        <v>-1376400</v>
      </c>
      <c r="K11" s="63">
        <v>0</v>
      </c>
      <c r="L11" s="15"/>
      <c r="M11" s="15"/>
      <c r="N11" s="14"/>
      <c r="P11" s="147">
        <f>SUM(J10:J23)</f>
        <v>6129900</v>
      </c>
      <c r="Q11" s="147">
        <f>SUM(K10:K23)</f>
        <v>423400</v>
      </c>
    </row>
    <row r="12" spans="3:17" ht="16" x14ac:dyDescent="0.2">
      <c r="C12" s="4" t="s">
        <v>34</v>
      </c>
      <c r="D12" s="95">
        <v>-13.8</v>
      </c>
      <c r="E12" s="98">
        <v>-59.4</v>
      </c>
      <c r="F12" s="95">
        <v>-37.799999999999997</v>
      </c>
      <c r="G12" s="95">
        <v>-146.19999999999999</v>
      </c>
      <c r="H12" s="95">
        <v>-25.8</v>
      </c>
      <c r="I12" s="77">
        <v>-1495400</v>
      </c>
      <c r="J12" s="77">
        <v>714900</v>
      </c>
      <c r="K12" s="63">
        <v>95100</v>
      </c>
      <c r="L12" s="14">
        <v>266000</v>
      </c>
      <c r="M12" s="14">
        <v>21000</v>
      </c>
      <c r="N12" s="14">
        <v>10000</v>
      </c>
      <c r="P12" s="141"/>
      <c r="Q12" s="141"/>
    </row>
    <row r="13" spans="3:17" ht="16" x14ac:dyDescent="0.2">
      <c r="C13" s="4" t="s">
        <v>57</v>
      </c>
      <c r="D13" s="95">
        <v>308.3</v>
      </c>
      <c r="E13" s="98">
        <v>302.7</v>
      </c>
      <c r="F13" s="95">
        <v>271.5</v>
      </c>
      <c r="G13" s="95">
        <v>319.10000000000002</v>
      </c>
      <c r="H13" s="95">
        <v>248.6</v>
      </c>
      <c r="I13" s="77">
        <v>308000</v>
      </c>
      <c r="J13" s="77">
        <v>250300</v>
      </c>
      <c r="K13" s="63">
        <v>176000</v>
      </c>
      <c r="L13" s="14">
        <v>218000</v>
      </c>
      <c r="M13" s="14">
        <v>210000</v>
      </c>
      <c r="N13" s="14">
        <v>183000</v>
      </c>
    </row>
    <row r="14" spans="3:17" ht="16" x14ac:dyDescent="0.2">
      <c r="C14" s="4" t="s">
        <v>134</v>
      </c>
      <c r="D14" s="95">
        <v>1314.9</v>
      </c>
      <c r="E14" s="98">
        <v>1365.9</v>
      </c>
      <c r="F14" s="95">
        <v>1497.7</v>
      </c>
      <c r="G14" s="95">
        <v>1248.5999999999999</v>
      </c>
      <c r="H14" s="95">
        <v>1197.5999999999999</v>
      </c>
      <c r="I14" s="77"/>
      <c r="J14" s="77"/>
      <c r="K14" s="63"/>
      <c r="L14" s="14"/>
      <c r="M14" s="14"/>
      <c r="N14" s="14"/>
    </row>
    <row r="15" spans="3:17" ht="16" x14ac:dyDescent="0.2">
      <c r="C15" s="4" t="s">
        <v>143</v>
      </c>
      <c r="D15" s="95">
        <f>121.5+31.9</f>
        <v>153.4</v>
      </c>
      <c r="E15" s="98">
        <f>101.4+26.8</f>
        <v>128.20000000000002</v>
      </c>
      <c r="F15" s="95">
        <f>91.4-67.8</f>
        <v>23.600000000000009</v>
      </c>
      <c r="G15" s="95">
        <f>226.2-6</f>
        <v>220.2</v>
      </c>
      <c r="H15" s="95">
        <f>454.4+24.5</f>
        <v>478.9</v>
      </c>
      <c r="I15" s="77">
        <f>187900+10500</f>
        <v>198400</v>
      </c>
      <c r="J15" s="77">
        <f>37600+89000</f>
        <v>126600</v>
      </c>
      <c r="K15" s="63">
        <f>68900+87200</f>
        <v>156100</v>
      </c>
      <c r="L15" s="14"/>
      <c r="M15" s="14"/>
      <c r="N15" s="14"/>
    </row>
    <row r="16" spans="3:17" ht="16" x14ac:dyDescent="0.2">
      <c r="C16" s="4" t="s">
        <v>58</v>
      </c>
      <c r="D16" s="95">
        <v>18.399999999999999</v>
      </c>
      <c r="E16" s="98">
        <v>-4.0999999999999996</v>
      </c>
      <c r="F16" s="95">
        <v>-326.10000000000002</v>
      </c>
      <c r="G16" s="95">
        <v>-43</v>
      </c>
      <c r="H16" s="95">
        <v>-2.7</v>
      </c>
      <c r="I16" s="77">
        <v>-197700</v>
      </c>
      <c r="J16" s="77">
        <v>131000</v>
      </c>
      <c r="K16" s="63">
        <v>-96800</v>
      </c>
      <c r="L16" s="14">
        <v>-56000</v>
      </c>
      <c r="M16" s="14">
        <v>-83000</v>
      </c>
      <c r="N16" s="14">
        <v>-80000</v>
      </c>
    </row>
    <row r="17" spans="3:18" ht="16" x14ac:dyDescent="0.2">
      <c r="C17" s="4" t="s">
        <v>32</v>
      </c>
      <c r="D17" s="95">
        <v>42.8</v>
      </c>
      <c r="E17" s="98">
        <v>366.4</v>
      </c>
      <c r="F17" s="95">
        <v>-641</v>
      </c>
      <c r="G17" s="95">
        <v>-49.8</v>
      </c>
      <c r="H17" s="95">
        <v>-10.9</v>
      </c>
      <c r="I17" s="77">
        <v>-173000</v>
      </c>
      <c r="J17" s="77">
        <v>-41200</v>
      </c>
      <c r="K17" s="63">
        <v>14000</v>
      </c>
      <c r="L17" s="14">
        <v>-68000</v>
      </c>
      <c r="M17" s="14">
        <v>-208000</v>
      </c>
      <c r="N17" s="14">
        <v>14000</v>
      </c>
    </row>
    <row r="18" spans="3:18" ht="16" x14ac:dyDescent="0.2">
      <c r="C18" s="4" t="s">
        <v>127</v>
      </c>
      <c r="D18" s="95"/>
      <c r="E18" s="98">
        <v>0</v>
      </c>
      <c r="F18" s="95"/>
      <c r="G18" s="95"/>
      <c r="H18" s="95">
        <v>-317.5</v>
      </c>
      <c r="I18" s="77">
        <v>922000</v>
      </c>
      <c r="J18" s="77">
        <v>-839500</v>
      </c>
      <c r="K18" s="63">
        <v>-20000</v>
      </c>
      <c r="L18" s="14"/>
      <c r="M18" s="14"/>
      <c r="N18" s="14"/>
    </row>
    <row r="19" spans="3:18" ht="16" x14ac:dyDescent="0.2">
      <c r="C19" s="4" t="s">
        <v>23</v>
      </c>
      <c r="D19" s="95">
        <v>28</v>
      </c>
      <c r="E19" s="98">
        <v>100.1</v>
      </c>
      <c r="F19" s="95">
        <v>345.5</v>
      </c>
      <c r="G19" s="95">
        <v>189.9</v>
      </c>
      <c r="H19" s="95">
        <v>-210.8</v>
      </c>
      <c r="I19" s="77">
        <v>31900</v>
      </c>
      <c r="J19" s="77">
        <v>391600</v>
      </c>
      <c r="K19" s="63">
        <v>46400</v>
      </c>
      <c r="L19" s="14">
        <v>48000</v>
      </c>
      <c r="M19" s="14">
        <v>138000</v>
      </c>
      <c r="N19" s="14">
        <v>60000</v>
      </c>
    </row>
    <row r="20" spans="3:18" ht="16" x14ac:dyDescent="0.2">
      <c r="C20" s="4" t="s">
        <v>128</v>
      </c>
      <c r="D20" s="95">
        <v>-61.9</v>
      </c>
      <c r="E20" s="98">
        <v>52.5</v>
      </c>
      <c r="F20" s="95">
        <v>-149.6</v>
      </c>
      <c r="G20" s="95">
        <v>286.10000000000002</v>
      </c>
      <c r="H20" s="95">
        <v>-1214.5999999999999</v>
      </c>
      <c r="I20" s="77">
        <v>1237100</v>
      </c>
      <c r="J20" s="77">
        <v>146000</v>
      </c>
      <c r="K20" s="63">
        <v>-91900</v>
      </c>
      <c r="L20" s="14"/>
      <c r="M20" s="14">
        <v>124000</v>
      </c>
      <c r="N20" s="14">
        <v>-2660000</v>
      </c>
    </row>
    <row r="21" spans="3:18" ht="16" x14ac:dyDescent="0.2">
      <c r="C21" s="4" t="s">
        <v>117</v>
      </c>
      <c r="D21" s="95">
        <v>-72.2</v>
      </c>
      <c r="E21" s="98">
        <v>-110.8</v>
      </c>
      <c r="F21" s="95">
        <v>-75.8</v>
      </c>
      <c r="G21" s="95">
        <v>-6.1</v>
      </c>
      <c r="H21" s="95">
        <v>31</v>
      </c>
      <c r="I21" s="77">
        <v>-30500</v>
      </c>
      <c r="J21" s="77">
        <v>7109400</v>
      </c>
      <c r="K21" s="63">
        <v>130800</v>
      </c>
      <c r="L21" s="14">
        <v>429000</v>
      </c>
      <c r="M21" s="14">
        <v>170000</v>
      </c>
      <c r="N21" s="14">
        <v>141000</v>
      </c>
      <c r="R21" s="163">
        <f>6008.7-E24</f>
        <v>0</v>
      </c>
    </row>
    <row r="22" spans="3:18" ht="16" x14ac:dyDescent="0.2">
      <c r="C22" s="4" t="s">
        <v>130</v>
      </c>
      <c r="D22" s="95">
        <v>-1294.9000000000001</v>
      </c>
      <c r="E22" s="98">
        <v>-1443.8</v>
      </c>
      <c r="F22" s="95">
        <v>-1625.6</v>
      </c>
      <c r="G22" s="95">
        <v>-1488.1</v>
      </c>
      <c r="H22" s="95">
        <v>-1231.4000000000001</v>
      </c>
      <c r="I22" s="77"/>
      <c r="J22" s="77"/>
      <c r="K22" s="63"/>
      <c r="L22" s="14"/>
      <c r="M22" s="14"/>
      <c r="N22" s="14"/>
    </row>
    <row r="23" spans="3:18" ht="16" x14ac:dyDescent="0.2">
      <c r="C23" s="4" t="s">
        <v>59</v>
      </c>
      <c r="D23" s="95">
        <v>291</v>
      </c>
      <c r="E23" s="98">
        <v>-93.7</v>
      </c>
      <c r="F23" s="95">
        <v>339.6</v>
      </c>
      <c r="G23" s="95">
        <v>609.79999999999995</v>
      </c>
      <c r="H23" s="95">
        <v>280.5</v>
      </c>
      <c r="I23" s="63">
        <v>-141100</v>
      </c>
      <c r="J23" s="63">
        <v>16400</v>
      </c>
      <c r="K23" s="63">
        <v>107200</v>
      </c>
      <c r="L23" s="16">
        <v>-111000</v>
      </c>
      <c r="M23" s="16">
        <v>-316000</v>
      </c>
      <c r="N23" s="16">
        <v>193000</v>
      </c>
    </row>
    <row r="24" spans="3:18" ht="16" x14ac:dyDescent="0.2">
      <c r="C24" s="32" t="s">
        <v>78</v>
      </c>
      <c r="D24" s="118">
        <f>D7+D8+D9+D12+D13+D14+D15+D16+D17+D19+D20+D21+D22+D23</f>
        <v>6095.6</v>
      </c>
      <c r="E24" s="118">
        <f t="shared" ref="E24:N24" si="0">SUM(E7:E23)</f>
        <v>6008.6999999999989</v>
      </c>
      <c r="F24" s="118">
        <f t="shared" si="0"/>
        <v>4397.2999999999993</v>
      </c>
      <c r="G24" s="118">
        <f t="shared" si="0"/>
        <v>5989.0999999999995</v>
      </c>
      <c r="H24" s="118">
        <f t="shared" si="0"/>
        <v>1597.8000000000002</v>
      </c>
      <c r="I24" s="76">
        <f t="shared" si="0"/>
        <v>5047000</v>
      </c>
      <c r="J24" s="76">
        <f t="shared" si="0"/>
        <v>11937800</v>
      </c>
      <c r="K24" s="76">
        <f t="shared" si="0"/>
        <v>4251800</v>
      </c>
      <c r="L24" s="37">
        <f t="shared" si="0"/>
        <v>4575000</v>
      </c>
      <c r="M24" s="37">
        <f t="shared" si="0"/>
        <v>3749000</v>
      </c>
      <c r="N24" s="37">
        <f t="shared" si="0"/>
        <v>607000</v>
      </c>
      <c r="R24" s="18">
        <f>+J24-11937800</f>
        <v>0</v>
      </c>
    </row>
    <row r="25" spans="3:18" x14ac:dyDescent="0.2">
      <c r="C25" s="6"/>
      <c r="D25" s="111"/>
      <c r="E25" s="165"/>
      <c r="F25" s="111"/>
      <c r="G25" s="111"/>
      <c r="H25" s="111"/>
      <c r="I25" s="65"/>
      <c r="J25" s="65"/>
      <c r="K25" s="65"/>
      <c r="L25" s="17"/>
      <c r="M25" s="17"/>
      <c r="N25" s="17"/>
    </row>
    <row r="26" spans="3:18" ht="16" x14ac:dyDescent="0.2">
      <c r="C26" s="4" t="s">
        <v>60</v>
      </c>
      <c r="D26" s="95">
        <v>-627.5</v>
      </c>
      <c r="E26" s="98">
        <v>-610.5</v>
      </c>
      <c r="F26" s="95">
        <v>-377.9</v>
      </c>
      <c r="G26" s="95">
        <v>-432</v>
      </c>
      <c r="H26" s="95">
        <v>-443.9</v>
      </c>
      <c r="I26" s="63">
        <v>-190400</v>
      </c>
      <c r="J26" s="63">
        <v>-191900</v>
      </c>
      <c r="K26" s="63">
        <v>-674400</v>
      </c>
      <c r="L26" s="14">
        <v>-1585700</v>
      </c>
      <c r="M26" s="14">
        <v>-567000</v>
      </c>
      <c r="N26" s="14">
        <v>-1652000</v>
      </c>
    </row>
    <row r="27" spans="3:18" ht="16" x14ac:dyDescent="0.2">
      <c r="C27" s="4" t="s">
        <v>61</v>
      </c>
      <c r="D27" s="95">
        <v>10.3</v>
      </c>
      <c r="E27" s="98">
        <v>2.5</v>
      </c>
      <c r="F27" s="95">
        <v>72.599999999999994</v>
      </c>
      <c r="G27" s="95">
        <v>143.19999999999999</v>
      </c>
      <c r="H27" s="95">
        <v>186.7</v>
      </c>
      <c r="I27" s="63">
        <v>298300</v>
      </c>
      <c r="J27" s="63">
        <v>459000</v>
      </c>
      <c r="K27" s="63">
        <v>1054500</v>
      </c>
      <c r="L27" s="14">
        <v>680700</v>
      </c>
      <c r="M27" s="14">
        <v>628000</v>
      </c>
      <c r="N27" s="14">
        <v>2015000</v>
      </c>
    </row>
    <row r="28" spans="3:18" ht="16" x14ac:dyDescent="0.2">
      <c r="C28" s="4" t="s">
        <v>62</v>
      </c>
      <c r="D28" s="95"/>
      <c r="E28" s="98"/>
      <c r="F28" s="95">
        <v>59.3</v>
      </c>
      <c r="G28" s="95">
        <v>1175</v>
      </c>
      <c r="H28" s="95">
        <v>0</v>
      </c>
      <c r="I28" s="63">
        <v>0</v>
      </c>
      <c r="J28" s="63">
        <v>-1311300</v>
      </c>
      <c r="K28" s="63">
        <v>0</v>
      </c>
      <c r="L28" s="14"/>
      <c r="M28" s="14">
        <v>-284000</v>
      </c>
      <c r="N28" s="14"/>
    </row>
    <row r="29" spans="3:18" ht="16" x14ac:dyDescent="0.2">
      <c r="C29" s="4" t="s">
        <v>63</v>
      </c>
      <c r="D29" s="95">
        <v>-2777.5</v>
      </c>
      <c r="E29" s="98">
        <v>-2333.6</v>
      </c>
      <c r="F29" s="95">
        <v>-1841.3</v>
      </c>
      <c r="G29" s="95">
        <v>-1470</v>
      </c>
      <c r="H29" s="95">
        <v>-1483.6</v>
      </c>
      <c r="I29" s="63">
        <v>-1806600</v>
      </c>
      <c r="J29" s="63">
        <v>-1976400</v>
      </c>
      <c r="K29" s="63">
        <v>-1519400</v>
      </c>
      <c r="L29" s="14">
        <f>-1440300+69600+27900</f>
        <v>-1342800</v>
      </c>
      <c r="M29" s="14">
        <v>-1304000</v>
      </c>
      <c r="N29" s="14">
        <v>-1161000</v>
      </c>
    </row>
    <row r="30" spans="3:18" ht="16" x14ac:dyDescent="0.2">
      <c r="C30" s="4" t="s">
        <v>64</v>
      </c>
      <c r="D30" s="95">
        <f>768-72.7</f>
        <v>695.3</v>
      </c>
      <c r="E30" s="98">
        <f>616.9+110-56.1</f>
        <v>670.8</v>
      </c>
      <c r="F30" s="95">
        <f>67.3-126.3</f>
        <v>-59</v>
      </c>
      <c r="G30" s="95">
        <f>345.5-81.2</f>
        <v>264.3</v>
      </c>
      <c r="H30" s="95">
        <f>-44.4+73.7</f>
        <v>29.300000000000004</v>
      </c>
      <c r="I30" s="63">
        <f>684300-56200+59800</f>
        <v>687900</v>
      </c>
      <c r="J30" s="63">
        <f>608200+5600+45300</f>
        <v>659100</v>
      </c>
      <c r="K30" s="63">
        <f>149600+85400+54300</f>
        <v>289300</v>
      </c>
      <c r="L30" s="16">
        <v>24900</v>
      </c>
      <c r="M30" s="16">
        <v>7000</v>
      </c>
      <c r="N30" s="16">
        <v>-19000</v>
      </c>
    </row>
    <row r="31" spans="3:18" ht="16" x14ac:dyDescent="0.2">
      <c r="C31" s="32" t="s">
        <v>65</v>
      </c>
      <c r="D31" s="119">
        <f>D26+D27+D29+D30</f>
        <v>-2699.3999999999996</v>
      </c>
      <c r="E31" s="119">
        <f t="shared" ref="E31" si="1">SUM(E26:E30)</f>
        <v>-2270.8000000000002</v>
      </c>
      <c r="F31" s="119">
        <f t="shared" ref="F31:G31" si="2">SUM(F26:F30)</f>
        <v>-2146.2999999999997</v>
      </c>
      <c r="G31" s="119">
        <f t="shared" si="2"/>
        <v>-319.49999999999994</v>
      </c>
      <c r="H31" s="119">
        <f t="shared" ref="H31:N31" si="3">SUM(H26:H30)</f>
        <v>-1711.5</v>
      </c>
      <c r="I31" s="37">
        <f t="shared" si="3"/>
        <v>-1010800</v>
      </c>
      <c r="J31" s="37">
        <f t="shared" si="3"/>
        <v>-2361500</v>
      </c>
      <c r="K31" s="37">
        <f t="shared" si="3"/>
        <v>-850000</v>
      </c>
      <c r="L31" s="37">
        <f t="shared" si="3"/>
        <v>-2222900</v>
      </c>
      <c r="M31" s="37">
        <f t="shared" si="3"/>
        <v>-1520000</v>
      </c>
      <c r="N31" s="37">
        <f t="shared" si="3"/>
        <v>-817000</v>
      </c>
    </row>
    <row r="32" spans="3:18" ht="17" x14ac:dyDescent="0.2">
      <c r="C32" s="38" t="s">
        <v>79</v>
      </c>
      <c r="D32" s="120">
        <f>D24+D31</f>
        <v>3396.2000000000007</v>
      </c>
      <c r="E32" s="120">
        <f>+E24+E31</f>
        <v>3737.8999999999987</v>
      </c>
      <c r="F32" s="120">
        <f t="shared" ref="F32:G32" si="4">+F24+F31</f>
        <v>2250.9999999999995</v>
      </c>
      <c r="G32" s="120">
        <f t="shared" si="4"/>
        <v>5669.5999999999995</v>
      </c>
      <c r="H32" s="120">
        <f t="shared" ref="H32:N32" si="5">+H24+H31</f>
        <v>-113.69999999999982</v>
      </c>
      <c r="I32" s="74">
        <f t="shared" si="5"/>
        <v>4036200</v>
      </c>
      <c r="J32" s="74">
        <f t="shared" si="5"/>
        <v>9576300</v>
      </c>
      <c r="K32" s="39">
        <f t="shared" si="5"/>
        <v>3401800</v>
      </c>
      <c r="L32" s="39">
        <f t="shared" si="5"/>
        <v>2352100</v>
      </c>
      <c r="M32" s="39">
        <f t="shared" si="5"/>
        <v>2229000</v>
      </c>
      <c r="N32" s="39">
        <f t="shared" si="5"/>
        <v>-210000</v>
      </c>
    </row>
    <row r="33" spans="3:15" ht="16" x14ac:dyDescent="0.2">
      <c r="C33" s="4" t="s">
        <v>135</v>
      </c>
      <c r="D33" s="95">
        <f>123.8-157.5</f>
        <v>-33.700000000000003</v>
      </c>
      <c r="E33" s="98">
        <f>-175+114.6-78.8</f>
        <v>-139.19999999999999</v>
      </c>
      <c r="F33" s="95">
        <f>175+36.6-36.6</f>
        <v>175</v>
      </c>
      <c r="G33" s="95">
        <f>-296.5+215.1-349.8</f>
        <v>-431.20000000000005</v>
      </c>
      <c r="H33" s="121">
        <f>1406.6-967.7</f>
        <v>438.89999999999986</v>
      </c>
      <c r="I33" s="23"/>
      <c r="J33" s="23"/>
      <c r="K33" s="23"/>
    </row>
    <row r="34" spans="3:15" ht="16" x14ac:dyDescent="0.2">
      <c r="C34" s="4" t="s">
        <v>66</v>
      </c>
      <c r="D34" s="95">
        <v>1995.3</v>
      </c>
      <c r="E34" s="98">
        <v>1497.8</v>
      </c>
      <c r="F34" s="95">
        <v>1498.1</v>
      </c>
      <c r="G34" s="95">
        <v>0</v>
      </c>
      <c r="H34" s="95">
        <v>4727.6000000000004</v>
      </c>
      <c r="I34" s="63">
        <v>1996000</v>
      </c>
      <c r="J34" s="63">
        <v>5584100</v>
      </c>
      <c r="K34" s="63">
        <v>750200</v>
      </c>
      <c r="L34" s="14">
        <v>1254000</v>
      </c>
      <c r="M34" s="14">
        <v>848000</v>
      </c>
      <c r="N34" s="14">
        <v>748000</v>
      </c>
    </row>
    <row r="35" spans="3:15" ht="16" x14ac:dyDescent="0.2">
      <c r="C35" s="4" t="s">
        <v>67</v>
      </c>
      <c r="D35" s="95">
        <v>-1825.1</v>
      </c>
      <c r="E35" s="98">
        <v>-1000</v>
      </c>
      <c r="F35" s="95">
        <v>-1000</v>
      </c>
      <c r="G35" s="95">
        <v>-1250</v>
      </c>
      <c r="H35" s="95">
        <v>0</v>
      </c>
      <c r="I35" s="63">
        <v>-350000</v>
      </c>
      <c r="J35" s="63">
        <v>0</v>
      </c>
      <c r="K35" s="63">
        <v>-400000</v>
      </c>
      <c r="L35" s="14"/>
      <c r="M35" s="14">
        <v>-610000</v>
      </c>
      <c r="N35" s="14"/>
    </row>
    <row r="36" spans="3:15" ht="16" x14ac:dyDescent="0.2">
      <c r="C36" s="4" t="s">
        <v>68</v>
      </c>
      <c r="D36" s="95">
        <v>108</v>
      </c>
      <c r="E36" s="98">
        <v>167.4</v>
      </c>
      <c r="F36" s="95">
        <v>101.6</v>
      </c>
      <c r="G36" s="95">
        <v>246.2</v>
      </c>
      <c r="H36" s="95">
        <v>298.8</v>
      </c>
      <c r="I36" s="63">
        <v>409800</v>
      </c>
      <c r="J36" s="63">
        <v>153900</v>
      </c>
      <c r="K36" s="63">
        <v>150800</v>
      </c>
      <c r="L36" s="14">
        <v>161000</v>
      </c>
      <c r="M36" s="14">
        <v>192000</v>
      </c>
      <c r="N36" s="14">
        <v>140000</v>
      </c>
    </row>
    <row r="37" spans="3:15" ht="16" x14ac:dyDescent="0.2">
      <c r="C37" s="4" t="s">
        <v>69</v>
      </c>
      <c r="D37" s="95"/>
      <c r="E37" s="98"/>
      <c r="F37" s="95"/>
      <c r="G37" s="95"/>
      <c r="H37" s="95"/>
      <c r="I37" s="63"/>
      <c r="J37" s="63"/>
      <c r="K37" s="77"/>
      <c r="L37" s="14">
        <v>123000</v>
      </c>
      <c r="M37" s="14">
        <v>132000</v>
      </c>
      <c r="N37" s="14">
        <v>114000</v>
      </c>
    </row>
    <row r="38" spans="3:15" ht="16" x14ac:dyDescent="0.2">
      <c r="C38" s="4" t="s">
        <v>70</v>
      </c>
      <c r="D38" s="95">
        <v>-2585</v>
      </c>
      <c r="E38" s="98">
        <v>-2431.8000000000002</v>
      </c>
      <c r="F38" s="95">
        <v>-2263.3000000000002</v>
      </c>
      <c r="G38" s="95">
        <v>-2119</v>
      </c>
      <c r="H38" s="95">
        <v>-1923.5</v>
      </c>
      <c r="I38" s="63">
        <v>-1761300</v>
      </c>
      <c r="J38" s="63">
        <v>-1743400</v>
      </c>
      <c r="K38" s="63">
        <v>-1450400</v>
      </c>
      <c r="L38" s="14">
        <v>-1178000</v>
      </c>
      <c r="M38" s="14">
        <v>-929000</v>
      </c>
      <c r="N38" s="14">
        <v>-783000</v>
      </c>
    </row>
    <row r="39" spans="3:15" ht="16" x14ac:dyDescent="0.2">
      <c r="C39" s="4" t="s">
        <v>71</v>
      </c>
      <c r="D39" s="95">
        <v>-1266.7</v>
      </c>
      <c r="E39" s="98">
        <v>-984.4</v>
      </c>
      <c r="F39" s="95">
        <v>-4013</v>
      </c>
      <c r="G39" s="95">
        <v>0</v>
      </c>
      <c r="H39" s="95">
        <v>-1698.9</v>
      </c>
      <c r="I39" s="63">
        <v>-10222300</v>
      </c>
      <c r="J39" s="63">
        <v>-7133500</v>
      </c>
      <c r="K39" s="63">
        <v>-2042500</v>
      </c>
      <c r="L39" s="14">
        <v>-1996000</v>
      </c>
      <c r="M39" s="14">
        <v>-1436000</v>
      </c>
      <c r="N39" s="14">
        <v>-759000</v>
      </c>
    </row>
    <row r="40" spans="3:15" ht="16" x14ac:dyDescent="0.2">
      <c r="C40" s="4" t="s">
        <v>72</v>
      </c>
      <c r="D40" s="95">
        <v>-100.4</v>
      </c>
      <c r="E40" s="98">
        <v>-89.3</v>
      </c>
      <c r="F40" s="95">
        <v>-127.2</v>
      </c>
      <c r="G40" s="95">
        <v>-97</v>
      </c>
      <c r="H40" s="95">
        <v>-91.9</v>
      </c>
      <c r="I40" s="63">
        <v>-111600</v>
      </c>
      <c r="J40" s="63">
        <v>-62700</v>
      </c>
      <c r="K40" s="63">
        <v>-82800</v>
      </c>
      <c r="L40" s="15"/>
      <c r="M40" s="15"/>
      <c r="N40" s="15"/>
    </row>
    <row r="41" spans="3:15" ht="16" x14ac:dyDescent="0.2">
      <c r="C41" s="4" t="s">
        <v>64</v>
      </c>
      <c r="D41" s="95">
        <v>-10.6</v>
      </c>
      <c r="E41" s="98">
        <v>-11.1</v>
      </c>
      <c r="F41" s="95">
        <v>-9.1999999999999993</v>
      </c>
      <c r="G41" s="95">
        <v>0</v>
      </c>
      <c r="H41" s="95">
        <v>-37.700000000000003</v>
      </c>
      <c r="I41" s="63">
        <v>-17500</v>
      </c>
      <c r="J41" s="63">
        <v>-41200</v>
      </c>
      <c r="K41" s="63">
        <v>-4400</v>
      </c>
      <c r="L41" s="14">
        <v>-114000</v>
      </c>
      <c r="M41" s="14">
        <v>-454000</v>
      </c>
      <c r="N41" s="14">
        <v>-84000</v>
      </c>
    </row>
    <row r="42" spans="3:15" ht="16" x14ac:dyDescent="0.2">
      <c r="C42" s="32" t="s">
        <v>73</v>
      </c>
      <c r="D42" s="122">
        <f>SUM(D33,D34,D35,D36,D38,D39,D40,D41)</f>
        <v>-3718.2</v>
      </c>
      <c r="E42" s="122">
        <f t="shared" ref="E42:G42" si="6">SUM(E33:E41)</f>
        <v>-2990.6000000000004</v>
      </c>
      <c r="F42" s="122">
        <f t="shared" si="6"/>
        <v>-5638</v>
      </c>
      <c r="G42" s="122">
        <f t="shared" si="6"/>
        <v>-3651</v>
      </c>
      <c r="H42" s="122">
        <f>SUM(H33:H41)</f>
        <v>1713.3</v>
      </c>
      <c r="I42" s="40">
        <f t="shared" ref="I42:N42" si="7">SUM(I34:I41)</f>
        <v>-10056900</v>
      </c>
      <c r="J42" s="40">
        <f t="shared" si="7"/>
        <v>-3242800</v>
      </c>
      <c r="K42" s="40">
        <f t="shared" si="7"/>
        <v>-3079100</v>
      </c>
      <c r="L42" s="40">
        <f t="shared" si="7"/>
        <v>-1750000</v>
      </c>
      <c r="M42" s="40">
        <f t="shared" si="7"/>
        <v>-2257000</v>
      </c>
      <c r="N42" s="40">
        <f t="shared" si="7"/>
        <v>-624000</v>
      </c>
    </row>
    <row r="43" spans="3:15" ht="16" x14ac:dyDescent="0.2">
      <c r="C43" s="4" t="s">
        <v>74</v>
      </c>
      <c r="D43" s="95">
        <v>56.5</v>
      </c>
      <c r="E43" s="98">
        <v>-14.2</v>
      </c>
      <c r="F43" s="95">
        <v>-250.3</v>
      </c>
      <c r="G43" s="95">
        <v>86.2</v>
      </c>
      <c r="H43" s="95">
        <v>64.7</v>
      </c>
      <c r="I43" s="63">
        <v>-49000</v>
      </c>
      <c r="J43" s="63">
        <v>-39500</v>
      </c>
      <c r="K43" s="63">
        <v>10800</v>
      </c>
      <c r="L43" s="14">
        <v>-3400</v>
      </c>
      <c r="M43" s="14">
        <v>-151000</v>
      </c>
      <c r="N43" s="14">
        <v>-34000</v>
      </c>
    </row>
    <row r="44" spans="3:15" ht="16" x14ac:dyDescent="0.2">
      <c r="C44" s="6" t="s">
        <v>75</v>
      </c>
      <c r="D44" s="131">
        <v>-265.3</v>
      </c>
      <c r="E44" s="131">
        <f t="shared" ref="E44:N44" si="8">+E32+E42+E43</f>
        <v>733.09999999999832</v>
      </c>
      <c r="F44" s="131">
        <f t="shared" si="8"/>
        <v>-3637.3000000000006</v>
      </c>
      <c r="G44" s="131">
        <f t="shared" si="8"/>
        <v>2104.7999999999993</v>
      </c>
      <c r="H44" s="131">
        <f t="shared" si="8"/>
        <v>1664.3000000000002</v>
      </c>
      <c r="I44" s="132">
        <f t="shared" si="8"/>
        <v>-6069700</v>
      </c>
      <c r="J44" s="132">
        <f t="shared" si="8"/>
        <v>6294000</v>
      </c>
      <c r="K44" s="132">
        <f t="shared" si="8"/>
        <v>333500</v>
      </c>
      <c r="L44" s="132">
        <f t="shared" si="8"/>
        <v>598700</v>
      </c>
      <c r="M44" s="132">
        <f t="shared" si="8"/>
        <v>-179000</v>
      </c>
      <c r="N44" s="132">
        <f t="shared" si="8"/>
        <v>-868000</v>
      </c>
      <c r="O44" s="133"/>
    </row>
    <row r="45" spans="3:15" ht="16" x14ac:dyDescent="0.2">
      <c r="C45" s="4" t="s">
        <v>76</v>
      </c>
      <c r="D45" s="95">
        <v>3551.5</v>
      </c>
      <c r="E45" s="95">
        <f>+F46</f>
        <v>2818.3999999999983</v>
      </c>
      <c r="F45" s="95">
        <f>+G46</f>
        <v>6455.6999999999989</v>
      </c>
      <c r="G45" s="95">
        <f>+H46</f>
        <v>4350.8999999999996</v>
      </c>
      <c r="H45" s="95">
        <v>2686.6</v>
      </c>
      <c r="I45" s="63">
        <f>+J46</f>
        <v>8756300</v>
      </c>
      <c r="J45" s="63">
        <f>+K46</f>
        <v>2462300</v>
      </c>
      <c r="K45" s="63">
        <f>+L46</f>
        <v>2128800</v>
      </c>
      <c r="L45" s="14">
        <v>1530100</v>
      </c>
      <c r="M45" s="14">
        <v>1708000</v>
      </c>
      <c r="N45" s="14">
        <v>2576000</v>
      </c>
    </row>
    <row r="46" spans="3:15" ht="17" thickBot="1" x14ac:dyDescent="0.25">
      <c r="C46" s="67" t="s">
        <v>77</v>
      </c>
      <c r="D46" s="123">
        <f>D45+D44+D43</f>
        <v>3342.7</v>
      </c>
      <c r="E46" s="123">
        <f t="shared" ref="E46:N46" si="9">+E44+E45</f>
        <v>3551.4999999999964</v>
      </c>
      <c r="F46" s="123">
        <f t="shared" si="9"/>
        <v>2818.3999999999983</v>
      </c>
      <c r="G46" s="123">
        <f t="shared" si="9"/>
        <v>6455.6999999999989</v>
      </c>
      <c r="H46" s="123">
        <f t="shared" si="9"/>
        <v>4350.8999999999996</v>
      </c>
      <c r="I46" s="75">
        <f t="shared" si="9"/>
        <v>2686600</v>
      </c>
      <c r="J46" s="75">
        <f t="shared" si="9"/>
        <v>8756300</v>
      </c>
      <c r="K46" s="41">
        <f t="shared" si="9"/>
        <v>2462300</v>
      </c>
      <c r="L46" s="41">
        <f t="shared" si="9"/>
        <v>2128800</v>
      </c>
      <c r="M46" s="41">
        <f t="shared" si="9"/>
        <v>1529000</v>
      </c>
      <c r="N46" s="41">
        <f t="shared" si="9"/>
        <v>1708000</v>
      </c>
    </row>
    <row r="47" spans="3:15" ht="16" thickTop="1" x14ac:dyDescent="0.2">
      <c r="D47" s="110"/>
      <c r="E47" s="29"/>
      <c r="K47" s="18">
        <f>2462300-K46</f>
        <v>0</v>
      </c>
    </row>
    <row r="48" spans="3:15" x14ac:dyDescent="0.2">
      <c r="D48" s="110"/>
      <c r="K48" s="18"/>
    </row>
    <row r="49" spans="4:7" x14ac:dyDescent="0.2">
      <c r="D49" s="110"/>
    </row>
    <row r="50" spans="4:7" x14ac:dyDescent="0.2">
      <c r="D50" s="110"/>
    </row>
    <row r="51" spans="4:7" x14ac:dyDescent="0.2">
      <c r="D51" s="110"/>
      <c r="G51" t="s">
        <v>142</v>
      </c>
    </row>
  </sheetData>
  <mergeCells count="3">
    <mergeCell ref="P8:Q8"/>
    <mergeCell ref="C2:G2"/>
    <mergeCell ref="C3:G3"/>
  </mergeCells>
  <phoneticPr fontId="20" type="noConversion"/>
  <pageMargins left="0.7" right="0.7" top="0.75" bottom="0.75" header="0.3" footer="0.3"/>
  <pageSetup scale="78" orientation="portrait" r:id="rId1"/>
  <ignoredErrors>
    <ignoredError sqref="F6:G6 H6:M6 P10:Q10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X44"/>
  <sheetViews>
    <sheetView tabSelected="1" topLeftCell="A4" zoomScaleNormal="100" workbookViewId="0">
      <selection activeCell="P26" sqref="P26"/>
    </sheetView>
  </sheetViews>
  <sheetFormatPr baseColWidth="10" defaultColWidth="8.83203125" defaultRowHeight="15" x14ac:dyDescent="0.2"/>
  <cols>
    <col min="1" max="1" width="4.33203125" customWidth="1"/>
    <col min="2" max="2" width="22.33203125" customWidth="1"/>
    <col min="3" max="3" width="7.5" customWidth="1"/>
    <col min="4" max="7" width="15.6640625" customWidth="1"/>
    <col min="8" max="14" width="15.6640625" hidden="1" customWidth="1"/>
    <col min="15" max="17" width="9" customWidth="1"/>
    <col min="18" max="18" width="12.83203125" customWidth="1"/>
    <col min="19" max="19" width="12.83203125" hidden="1" customWidth="1"/>
    <col min="20" max="20" width="10.1640625" hidden="1" customWidth="1"/>
    <col min="21" max="22" width="10.5" hidden="1" customWidth="1"/>
    <col min="23" max="23" width="10.33203125" hidden="1" customWidth="1"/>
    <col min="24" max="24" width="9" customWidth="1"/>
  </cols>
  <sheetData>
    <row r="3" spans="2:24" ht="19" x14ac:dyDescent="0.25">
      <c r="B3" s="191" t="s">
        <v>147</v>
      </c>
      <c r="C3" s="191"/>
      <c r="D3" s="191"/>
      <c r="E3" s="191"/>
      <c r="F3" s="191"/>
      <c r="G3" s="139"/>
      <c r="H3" s="139"/>
      <c r="I3" s="139"/>
      <c r="J3" s="139"/>
      <c r="K3" s="139"/>
    </row>
    <row r="4" spans="2:24" ht="19" x14ac:dyDescent="0.25">
      <c r="B4" s="191" t="s">
        <v>152</v>
      </c>
      <c r="C4" s="191"/>
      <c r="D4" s="191"/>
      <c r="E4" s="191"/>
      <c r="F4" s="191"/>
    </row>
    <row r="5" spans="2:24" ht="16" thickBot="1" x14ac:dyDescent="0.25"/>
    <row r="6" spans="2:24" ht="16" thickBot="1" x14ac:dyDescent="0.25">
      <c r="D6" s="158" t="str">
        <f>+'SBUX Income Statement'!C6</f>
        <v>9/29/24</v>
      </c>
      <c r="E6" s="158" t="str">
        <f>+'SBUX Income Statement'!D6</f>
        <v>10/1/23</v>
      </c>
      <c r="F6" s="3" t="s">
        <v>144</v>
      </c>
      <c r="G6" s="3" t="s">
        <v>145</v>
      </c>
      <c r="H6" s="3" t="s">
        <v>131</v>
      </c>
      <c r="I6" s="3" t="s">
        <v>123</v>
      </c>
      <c r="J6" s="3" t="s">
        <v>114</v>
      </c>
      <c r="K6" s="3" t="s">
        <v>112</v>
      </c>
      <c r="L6" s="3" t="s">
        <v>2</v>
      </c>
      <c r="M6" s="3" t="s">
        <v>3</v>
      </c>
      <c r="N6" s="3" t="s">
        <v>4</v>
      </c>
    </row>
    <row r="7" spans="2:24" ht="16" thickBot="1" x14ac:dyDescent="0.25">
      <c r="B7" s="193" t="s">
        <v>82</v>
      </c>
      <c r="C7" s="194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</row>
    <row r="9" spans="2:24" x14ac:dyDescent="0.2">
      <c r="B9" t="s">
        <v>83</v>
      </c>
      <c r="C9" s="141">
        <v>25.87</v>
      </c>
      <c r="D9" s="78">
        <f>'SBUX Income Statement'!C13/'SBUX Income Statement'!C10</f>
        <v>0.26838363343855903</v>
      </c>
      <c r="E9" s="78">
        <f>'SBUX Income Statement'!D13/'SBUX Income Statement'!D10</f>
        <v>0.27369105727215115</v>
      </c>
      <c r="F9" s="78">
        <f>'SBUX Income Statement'!E13/'SBUX Income Statement'!E10</f>
        <v>0.25956657767524649</v>
      </c>
      <c r="G9" s="78">
        <f>'SBUX Income Statement'!F13/'SBUX Income Statement'!F10</f>
        <v>0.28874145750603908</v>
      </c>
      <c r="H9" s="78"/>
      <c r="I9" s="78"/>
      <c r="J9" s="78"/>
      <c r="K9" s="44"/>
      <c r="L9" s="44">
        <f>+'SBUX Income Statement'!K13/'SBUX Income Statement'!K10</f>
        <v>0.60071589752250665</v>
      </c>
      <c r="M9" s="44">
        <f>+'SBUX Income Statement'!L13/'SBUX Income Statement'!L10</f>
        <v>0.59361154743329492</v>
      </c>
      <c r="N9" s="44">
        <f>+'SBUX Income Statement'!M13/'SBUX Income Statement'!M10</f>
        <v>0.58299590218752662</v>
      </c>
      <c r="X9" s="59"/>
    </row>
    <row r="10" spans="2:24" x14ac:dyDescent="0.2">
      <c r="B10" t="s">
        <v>84</v>
      </c>
      <c r="C10" s="28"/>
      <c r="D10" s="78">
        <f>'SBUX Income Statement'!C27/'SBUX Income Statement'!C10</f>
        <v>0.1373720844090866</v>
      </c>
      <c r="E10" s="78">
        <f>'SBUX Income Statement'!D27/'SBUX Income Statement'!D10</f>
        <v>0.15015454919445406</v>
      </c>
      <c r="F10" s="78">
        <f>'SBUX Income Statement'!E27/'SBUX Income Statement'!E10</f>
        <v>0.1312204847706844</v>
      </c>
      <c r="G10" s="78">
        <f>'SBUX Income Statement'!F27/'SBUX Income Statement'!F10</f>
        <v>0.18433549204077002</v>
      </c>
      <c r="H10" s="78"/>
      <c r="I10" s="78"/>
      <c r="J10" s="78"/>
      <c r="K10" s="44"/>
      <c r="L10" s="44">
        <f>+'SBUX Income Statement'!K21/'SBUX Income Statement'!K10</f>
        <v>0.48021430012338207</v>
      </c>
      <c r="M10" s="44">
        <f>+'SBUX Income Statement'!L21/'SBUX Income Statement'!L10</f>
        <v>0.4702938521189603</v>
      </c>
      <c r="N10" s="44">
        <f>+'SBUX Income Statement'!M21/'SBUX Income Statement'!M10</f>
        <v>0.46932112501367962</v>
      </c>
      <c r="X10" s="59"/>
    </row>
    <row r="11" spans="2:24" x14ac:dyDescent="0.2">
      <c r="B11" t="s">
        <v>85</v>
      </c>
      <c r="D11" s="78">
        <f>'SBUX Income Statement'!C31/'SBUX Income Statement'!C10</f>
        <v>0.10396061498996574</v>
      </c>
      <c r="E11" s="78">
        <f>'SBUX Income Statement'!D31/'SBUX Income Statement'!D10</f>
        <v>0.11464714973482032</v>
      </c>
      <c r="F11" s="78">
        <f>'SBUX Income Statement'!E31/'SBUX Income Statement'!E10</f>
        <v>0.10175409220999504</v>
      </c>
      <c r="G11" s="78">
        <f>'SBUX Income Statement'!F31/'SBUX Income Statement'!F10</f>
        <v>0.14450148998988324</v>
      </c>
      <c r="H11" s="78"/>
      <c r="I11" s="78"/>
      <c r="J11" s="78"/>
      <c r="K11" s="44"/>
      <c r="L11" s="44">
        <f>+'SBUX Income Statement'!K31/'SBUX Income Statement'!K10</f>
        <v>0.94521929639377178</v>
      </c>
      <c r="M11" s="44">
        <f>+'SBUX Income Statement'!L31/'SBUX Income Statement'!L10</f>
        <v>0.94530520229404003</v>
      </c>
      <c r="N11" s="44">
        <f>+'SBUX Income Statement'!M31/'SBUX Income Statement'!M10</f>
        <v>0.92253067279514589</v>
      </c>
      <c r="X11" s="59"/>
    </row>
    <row r="12" spans="2:24" ht="16" thickBot="1" x14ac:dyDescent="0.25">
      <c r="S12" s="45"/>
    </row>
    <row r="13" spans="2:24" ht="16" thickBot="1" x14ac:dyDescent="0.25">
      <c r="B13" s="193" t="s">
        <v>86</v>
      </c>
      <c r="C13" s="194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</row>
    <row r="14" spans="2:24" x14ac:dyDescent="0.2">
      <c r="B14" t="s">
        <v>159</v>
      </c>
      <c r="D14" s="45">
        <f>('SBUX Balance Sheet'!C14/'SBUX Income Statement'!C10)*365</f>
        <v>12.246642820417843</v>
      </c>
      <c r="E14" s="45">
        <f>('SBUX Balance Sheet'!D14/'SBUX Income Statement'!D10)*365</f>
        <v>12.013600885044308</v>
      </c>
      <c r="F14" s="45">
        <f>('SBUX Balance Sheet'!E14/'SBUX Income Statement'!E10)*365</f>
        <v>13.30398476913393</v>
      </c>
      <c r="G14" s="45">
        <f>('SBUX Balance Sheet'!F14/'SBUX Income Statement'!F10)*365</f>
        <v>11.806363254716008</v>
      </c>
      <c r="H14" s="45"/>
      <c r="I14" s="45"/>
      <c r="J14" s="45"/>
      <c r="K14" s="45"/>
      <c r="L14" s="45"/>
      <c r="M14" s="45"/>
      <c r="N14" s="45"/>
      <c r="X14" s="59"/>
    </row>
    <row r="15" spans="2:24" x14ac:dyDescent="0.2">
      <c r="B15" t="s">
        <v>153</v>
      </c>
      <c r="D15" s="45">
        <f>('SBUX Balance Sheet'!C16/'SBUX Income Statement'!C11)*365</f>
        <v>58.021438920988139</v>
      </c>
      <c r="E15" s="45">
        <f>('SBUX Balance Sheet'!D16/'SBUX Income Statement'!D11)*365</f>
        <v>57.790360326406109</v>
      </c>
      <c r="F15" s="45">
        <f>('SBUX Balance Sheet'!E16/'SBUX Income Statement'!E11)*365</f>
        <v>77.001860933956237</v>
      </c>
      <c r="G15" s="45">
        <f>('SBUX Balance Sheet'!F16/'SBUX Income Statement'!F11)*365</f>
        <v>66.992058315310047</v>
      </c>
      <c r="H15" s="45"/>
      <c r="I15" s="45"/>
      <c r="J15" s="45"/>
      <c r="K15" s="45"/>
      <c r="L15" s="45"/>
      <c r="M15" s="45"/>
      <c r="N15" s="45"/>
      <c r="X15" s="59"/>
    </row>
    <row r="16" spans="2:24" x14ac:dyDescent="0.2">
      <c r="B16" t="s">
        <v>154</v>
      </c>
      <c r="D16" s="45">
        <f>('SBUX Balance Sheet'!P10/'SBUX Income Statement'!C11)*365</f>
        <v>52.08642648873942</v>
      </c>
      <c r="E16" s="45">
        <f>('SBUX Balance Sheet'!Q10/'SBUX Income Statement'!D11)*365</f>
        <v>49.405255453979713</v>
      </c>
      <c r="F16" s="45">
        <f>('SBUX Balance Sheet'!R10/'SBUX Income Statement'!E11)*365</f>
        <v>50.992595033632504</v>
      </c>
      <c r="G16" s="45">
        <f>('SBUX Balance Sheet'!S10/'SBUX Income Statement'!F11)*365</f>
        <v>50.606383100461159</v>
      </c>
      <c r="H16" s="45"/>
      <c r="I16" s="45"/>
      <c r="J16" s="45"/>
      <c r="K16" s="45"/>
      <c r="L16" s="45"/>
      <c r="M16" s="45"/>
      <c r="N16" s="45"/>
      <c r="S16" s="45"/>
      <c r="X16" s="59"/>
    </row>
    <row r="17" spans="2:24" x14ac:dyDescent="0.2">
      <c r="B17" t="s">
        <v>160</v>
      </c>
      <c r="D17" s="46">
        <f>'SBUX Income Statement'!C10/'SBUX Balance Sheet'!C35</f>
        <v>1.1375018866026059</v>
      </c>
      <c r="E17" s="46">
        <f>'SBUX Income Statement'!D10/'SBUX Balance Sheet'!D35</f>
        <v>1.221769030921533</v>
      </c>
      <c r="F17" s="46">
        <f>'SBUX Income Statement'!E10/'SBUX Balance Sheet'!E35</f>
        <v>1.1526856432104766</v>
      </c>
      <c r="G17" s="46">
        <f>'SBUX Income Statement'!F10/'SBUX Balance Sheet'!F35</f>
        <v>0.92571497741505959</v>
      </c>
      <c r="H17" s="46"/>
      <c r="I17" s="46"/>
      <c r="J17" s="46"/>
      <c r="K17" s="46"/>
      <c r="L17" s="46"/>
      <c r="M17" s="46"/>
      <c r="N17" s="46"/>
      <c r="S17" s="46"/>
      <c r="X17" s="59"/>
    </row>
    <row r="18" spans="2:24" x14ac:dyDescent="0.2">
      <c r="B18" t="s">
        <v>161</v>
      </c>
      <c r="D18" s="46">
        <f>'SBUX Income Statement'!C10/'SBUX Balance Sheet'!C26</f>
        <v>4.1747389071605792</v>
      </c>
      <c r="E18" s="46">
        <f>'SBUX Income Statement'!D10/'SBUX Balance Sheet'!D26</f>
        <v>4.8700572619837281</v>
      </c>
      <c r="F18" s="46">
        <f>'SBUX Income Statement'!E10/'SBUX Balance Sheet'!E26</f>
        <v>4.9158295861595915</v>
      </c>
      <c r="G18" s="46">
        <f>'SBUX Income Statement'!F10/'SBUX Balance Sheet'!F26</f>
        <v>4.5624617316900853</v>
      </c>
      <c r="H18" s="46"/>
      <c r="I18" s="46"/>
      <c r="J18" s="46"/>
      <c r="K18" s="46"/>
      <c r="L18" s="46"/>
      <c r="M18" s="46"/>
      <c r="N18" s="46"/>
      <c r="S18" s="46"/>
      <c r="X18" s="59"/>
    </row>
    <row r="19" spans="2:24" ht="16" thickBot="1" x14ac:dyDescent="0.25"/>
    <row r="20" spans="2:24" ht="16" thickBot="1" x14ac:dyDescent="0.25">
      <c r="B20" s="193" t="s">
        <v>87</v>
      </c>
      <c r="C20" s="194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S20" s="45"/>
    </row>
    <row r="21" spans="2:24" x14ac:dyDescent="0.2">
      <c r="B21" t="s">
        <v>88</v>
      </c>
      <c r="D21" s="181">
        <f>'SBUX Balance Sheet'!P26/'SBUX Balance Sheet'!P32</f>
        <v>-5.2062586422156283</v>
      </c>
      <c r="E21" s="181">
        <f>'SBUX Balance Sheet'!Q26/'SBUX Balance Sheet'!Q32</f>
        <v>-4.6822059338570075</v>
      </c>
      <c r="F21" s="181">
        <f>'SBUX Balance Sheet'!R26/'SBUX Balance Sheet'!R32</f>
        <v>-4.2125628833298876</v>
      </c>
      <c r="G21" s="181">
        <f>'SBUX Balance Sheet'!S26/'SBUX Balance Sheet'!S32</f>
        <v>-6.898274825227392</v>
      </c>
      <c r="H21" s="79"/>
      <c r="I21" s="79"/>
      <c r="J21" s="79"/>
      <c r="K21" s="79"/>
      <c r="L21" s="79">
        <f>+(('SBUX Balance Sheet'!X21+'SBUX Balance Sheet'!X19)/('SBUX Balance Sheet'!X32))</f>
        <v>0.61220258327668253</v>
      </c>
      <c r="M21" s="79">
        <f>+(('SBUX Balance Sheet'!Y21+'SBUX Balance Sheet'!Y19)/('SBUX Balance Sheet'!Y32))</f>
        <v>0.40348917153661051</v>
      </c>
      <c r="N21" s="79">
        <f>+(('SBUX Balance Sheet'!Z21+'SBUX Balance Sheet'!Z19)/('SBUX Balance Sheet'!Z32))</f>
        <v>0.38852427921092564</v>
      </c>
      <c r="S21" s="45"/>
      <c r="X21" s="59"/>
    </row>
    <row r="22" spans="2:24" x14ac:dyDescent="0.2">
      <c r="B22" t="s">
        <v>89</v>
      </c>
      <c r="D22" s="79">
        <f>'SBUX Balance Sheet'!P21/'SBUX Balance Sheet'!P35</f>
        <v>0.45691831023666774</v>
      </c>
      <c r="E22" s="79">
        <f>'SBUX Balance Sheet'!Q21/'SBUX Balance Sheet'!Q35</f>
        <v>0.4600906759946341</v>
      </c>
      <c r="F22" s="79">
        <f>'SBUX Balance Sheet'!R21/'SBUX Balance Sheet'!R35</f>
        <v>0.46892960283647384</v>
      </c>
      <c r="G22" s="79">
        <f>'SBUX Balance Sheet'!S21/'SBUX Balance Sheet'!S35</f>
        <v>0.43376145970706476</v>
      </c>
      <c r="H22" s="79"/>
      <c r="I22" s="79"/>
      <c r="J22" s="79"/>
      <c r="K22" s="79"/>
      <c r="L22" s="48">
        <f>+('SBUX Balance Sheet'!X21/('SBUX Balance Sheet'!X21+'SBUX Balance Sheet'!X32))</f>
        <v>0.35242455591996652</v>
      </c>
      <c r="M22" s="48">
        <f>+('SBUX Balance Sheet'!Y21/('SBUX Balance Sheet'!Y21+'SBUX Balance Sheet'!Y32))</f>
        <v>0.28749004959892227</v>
      </c>
      <c r="N22" s="48">
        <f>+('SBUX Balance Sheet'!Z21/('SBUX Balance Sheet'!Z21+'SBUX Balance Sheet'!Z32))</f>
        <v>0.2798109367102441</v>
      </c>
      <c r="P22" s="141"/>
      <c r="Q22" s="141"/>
      <c r="R22" s="141"/>
      <c r="S22" s="148"/>
      <c r="T22" s="141"/>
      <c r="U22" s="141"/>
      <c r="V22" s="141"/>
      <c r="W22" s="141"/>
      <c r="X22" s="141"/>
    </row>
    <row r="23" spans="2:24" x14ac:dyDescent="0.2">
      <c r="B23" t="s">
        <v>90</v>
      </c>
      <c r="D23" s="79">
        <f>'SBUX Balance Sheet'!P26/'SBUX Balance Sheet'!P35</f>
        <v>1.2374526552922369</v>
      </c>
      <c r="E23" s="79">
        <f>'SBUX Balance Sheet'!Q26/'SBUX Balance Sheet'!Q35</f>
        <v>1.2712740486661798</v>
      </c>
      <c r="F23" s="79">
        <f>'SBUX Balance Sheet'!R26/'SBUX Balance Sheet'!R35</f>
        <v>1.3109077002258884</v>
      </c>
      <c r="G23" s="79">
        <f>'SBUX Balance Sheet'!S26/'SBUX Balance Sheet'!S35</f>
        <v>1.1692914890770436</v>
      </c>
      <c r="H23" s="79"/>
      <c r="I23" s="79"/>
      <c r="J23" s="79"/>
      <c r="K23" s="79"/>
      <c r="L23" s="48">
        <f>+('SBUX Balance Sheet'!X19+'SBUX Balance Sheet'!X21)/('SBUX Balance Sheet'!X19+'SBUX Balance Sheet'!X21+'SBUX Balance Sheet'!X32)</f>
        <v>0.37973055596550781</v>
      </c>
      <c r="M23" s="48">
        <f>+('SBUX Balance Sheet'!Y19+'SBUX Balance Sheet'!Y21)/('SBUX Balance Sheet'!Y19+'SBUX Balance Sheet'!Y21+'SBUX Balance Sheet'!Y32)</f>
        <v>0.28749004959892227</v>
      </c>
      <c r="N23" s="48">
        <f>+('SBUX Balance Sheet'!Z19+'SBUX Balance Sheet'!Z21)/('SBUX Balance Sheet'!Z19+'SBUX Balance Sheet'!Z21+'SBUX Balance Sheet'!Z32)</f>
        <v>0.2798109367102441</v>
      </c>
      <c r="P23" s="141"/>
      <c r="Q23" s="141"/>
      <c r="R23" s="149"/>
      <c r="S23" s="141"/>
      <c r="T23" s="141"/>
      <c r="U23" s="141"/>
      <c r="V23" s="141"/>
      <c r="W23" s="141"/>
      <c r="X23" s="141"/>
    </row>
    <row r="24" spans="2:24" x14ac:dyDescent="0.2">
      <c r="B24" s="187" t="s">
        <v>155</v>
      </c>
      <c r="D24" s="136">
        <f>'SBUX Balance Sheet'!P21/('SBUX Income Statement'!C22+'SBUX Income Statement'!C16)</f>
        <v>1.6766190124931213</v>
      </c>
      <c r="E24" s="136">
        <f>'SBUX Balance Sheet'!Q21/('SBUX Income Statement'!D22+'SBUX Income Statement'!D16)</f>
        <v>1.5744418747893592</v>
      </c>
      <c r="F24" s="136">
        <f>'SBUX Balance Sheet'!R21/('SBUX Income Statement'!E22+'SBUX Income Statement'!E16)</f>
        <v>1.7359876151159093</v>
      </c>
      <c r="G24" s="136">
        <f>'SBUX Balance Sheet'!S21/('SBUX Income Statement'!F22+'SBUX Income Statement'!F16)</f>
        <v>1.7398231671479316</v>
      </c>
      <c r="H24" s="136"/>
      <c r="I24" s="136"/>
      <c r="J24" s="136"/>
      <c r="K24" s="136"/>
      <c r="L24" s="136">
        <f>+('SBUX Balance Sheet'!X19+'SBUX Balance Sheet'!X21)/('SBUX Income Statement'!K22)</f>
        <v>0.31973513695833555</v>
      </c>
      <c r="M24" s="136">
        <f>+('SBUX Balance Sheet'!Y19+'SBUX Balance Sheet'!Y21)/('SBUX Income Statement'!L22)</f>
        <v>0.23602215943937824</v>
      </c>
      <c r="N24" s="136">
        <f>+('SBUX Balance Sheet'!Z19+'SBUX Balance Sheet'!Z21)/('SBUX Income Statement'!M22)</f>
        <v>0.24190710143729405</v>
      </c>
      <c r="P24" s="141"/>
      <c r="Q24" s="141"/>
      <c r="R24" s="141"/>
      <c r="S24" s="141"/>
      <c r="T24" s="141"/>
      <c r="U24" s="192" t="s">
        <v>111</v>
      </c>
      <c r="V24" s="192"/>
      <c r="W24" s="192"/>
      <c r="X24" s="141"/>
    </row>
    <row r="25" spans="2:24" x14ac:dyDescent="0.2">
      <c r="B25" t="s">
        <v>91</v>
      </c>
      <c r="D25" s="45">
        <f>'SBUX Income Statement'!C27/-('SBUX Income Statement'!C26)</f>
        <v>8.8427046263345161</v>
      </c>
      <c r="E25" s="45">
        <f>'SBUX Income Statement'!D27/-('SBUX Income Statement'!D26)</f>
        <v>9.8198509361934221</v>
      </c>
      <c r="F25" s="45">
        <f>'SBUX Income Statement'!E27/-('SBUX Income Statement'!E26)</f>
        <v>8.7635121143093873</v>
      </c>
      <c r="G25" s="45">
        <f>'SBUX Income Statement'!F27/-('SBUX Income Statement'!F26)</f>
        <v>11.40251170710941</v>
      </c>
      <c r="H25" s="45"/>
      <c r="I25" s="45"/>
      <c r="J25" s="45"/>
      <c r="K25" s="45"/>
      <c r="L25" s="45">
        <f>+('SBUX Income Statement'!K21/'SBUX Income Statement'!K26)*-1</f>
        <v>125.90651906519065</v>
      </c>
      <c r="M25" s="45">
        <f>+('SBUX Income Statement'!L21/'SBUX Income Statement'!L26)*-1</f>
        <v>127.83120567375886</v>
      </c>
      <c r="N25" s="45">
        <f>+('SBUX Income Statement'!M21/'SBUX Income Statement'!M26)*-1</f>
        <v>120.42589703588143</v>
      </c>
      <c r="O25" s="168">
        <v>2024</v>
      </c>
      <c r="P25" s="172">
        <v>2023</v>
      </c>
      <c r="Q25" s="168">
        <v>2022</v>
      </c>
      <c r="R25" s="168">
        <v>2021</v>
      </c>
      <c r="S25" s="168">
        <v>2020</v>
      </c>
      <c r="T25" s="168">
        <v>2019</v>
      </c>
      <c r="U25" s="168">
        <v>2018</v>
      </c>
      <c r="V25" s="168">
        <v>2017</v>
      </c>
      <c r="W25" s="168">
        <v>2016</v>
      </c>
      <c r="X25" s="150">
        <v>2014</v>
      </c>
    </row>
    <row r="26" spans="2:24" x14ac:dyDescent="0.2">
      <c r="B26" s="187" t="s">
        <v>92</v>
      </c>
      <c r="D26" s="45">
        <f>('SBUX Income Statement'!C22+'SBUX Income Statement'!C12)/('SBUX Income Statement'!C26+'SBUX Income Statement'!C12)</f>
        <v>1.5154742096505822</v>
      </c>
      <c r="E26" s="45">
        <f>('SBUX Income Statement'!D22+'SBUX Income Statement'!D12)/('SBUX Income Statement'!D26+'SBUX Income Statement'!D12)</f>
        <v>1.549900495405852</v>
      </c>
      <c r="F26" s="45">
        <f>('SBUX Income Statement'!E22+'SBUX Income Statement'!E12)/('SBUX Income Statement'!E26+'SBUX Income Statement'!E12)</f>
        <v>1.5040637974141557</v>
      </c>
      <c r="G26" s="45">
        <f>('SBUX Income Statement'!F22+'SBUX Income Statement'!F12)/('SBUX Income Statement'!F26+'SBUX Income Statement'!F12)</f>
        <v>1.5980839535472162</v>
      </c>
      <c r="H26" s="152"/>
      <c r="I26" s="45"/>
      <c r="J26" s="45"/>
      <c r="K26" s="45"/>
      <c r="L26" s="45">
        <f>+('SBUX Income Statement'!K21+W26)/('SBUX Income Statement'!K26-W26)*-1</f>
        <v>8.7845151399003445</v>
      </c>
      <c r="M26" s="45" t="e">
        <f>+('SBUX Income Statement'!L21+#REF!)/('SBUX Income Statement'!L26-#REF!)*-1</f>
        <v>#REF!</v>
      </c>
      <c r="N26" s="45">
        <f>+('SBUX Income Statement'!M21+X26)/('SBUX Income Statement'!M26-X26)*-1</f>
        <v>8.3728209573341044</v>
      </c>
      <c r="P26" s="167">
        <v>1657.2</v>
      </c>
      <c r="Q26" s="167">
        <v>1647.3</v>
      </c>
      <c r="R26" s="167">
        <v>1707.1</v>
      </c>
      <c r="S26" s="169">
        <v>1463.3</v>
      </c>
      <c r="T26" s="170">
        <v>1666000</v>
      </c>
      <c r="U26" s="170">
        <v>1625200</v>
      </c>
      <c r="V26" s="170">
        <v>1329200</v>
      </c>
      <c r="W26" s="171">
        <v>1223200</v>
      </c>
      <c r="X26" s="151">
        <v>974200</v>
      </c>
    </row>
    <row r="27" spans="2:24" ht="16" thickBot="1" x14ac:dyDescent="0.25">
      <c r="O27" s="167"/>
      <c r="P27" s="167"/>
      <c r="Q27" s="167"/>
      <c r="R27" s="167"/>
      <c r="S27" s="167"/>
      <c r="T27" s="167"/>
      <c r="U27" s="167"/>
      <c r="V27" s="167"/>
      <c r="W27" s="141"/>
      <c r="X27" s="141"/>
    </row>
    <row r="28" spans="2:24" ht="16" thickBot="1" x14ac:dyDescent="0.25">
      <c r="B28" s="193" t="s">
        <v>93</v>
      </c>
      <c r="C28" s="194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</row>
    <row r="29" spans="2:24" x14ac:dyDescent="0.2">
      <c r="B29" t="s">
        <v>94</v>
      </c>
      <c r="D29" s="46">
        <f>'SBUX Balance Sheet'!C20/'SBUX Balance Sheet'!P20</f>
        <v>0.75495038588754138</v>
      </c>
      <c r="E29" s="46">
        <f>'SBUX Balance Sheet'!D20/'SBUX Balance Sheet'!Q20</f>
        <v>0.78150514162199181</v>
      </c>
      <c r="F29" s="46">
        <f>'SBUX Balance Sheet'!E20/'SBUX Balance Sheet'!R20</f>
        <v>0.76692016870998048</v>
      </c>
      <c r="G29" s="46">
        <f>'SBUX Balance Sheet'!F20/'SBUX Balance Sheet'!S20</f>
        <v>1.1968986922491842</v>
      </c>
      <c r="H29" s="46">
        <f>+'SBUX Balance Sheet'!G20/'SBUX Balance Sheet'!T20</f>
        <v>1.0625578483149125</v>
      </c>
      <c r="I29" s="46">
        <f>+'SBUX Balance Sheet'!H20/'SBUX Balance Sheet'!U20</f>
        <v>0.91654643604000841</v>
      </c>
      <c r="J29" s="46">
        <f>+'SBUX Balance Sheet'!I20/'SBUX Balance Sheet'!V20</f>
        <v>2.1980577741810632</v>
      </c>
      <c r="K29" s="46">
        <f>+'SBUX Balance Sheet'!J20/'SBUX Balance Sheet'!W20</f>
        <v>1.2517828796171251</v>
      </c>
      <c r="L29" s="46">
        <f>+'SBUX Balance Sheet'!K20/'SBUX Balance Sheet'!X20</f>
        <v>1.0469770612945084</v>
      </c>
      <c r="M29" s="46">
        <f>+'SBUX Balance Sheet'!L20/'SBUX Balance Sheet'!Y20</f>
        <v>1.0885118280748882</v>
      </c>
      <c r="N29" s="46">
        <f>+'SBUX Balance Sheet'!M20/'SBUX Balance Sheet'!Z20</f>
        <v>1.3718695494783955</v>
      </c>
      <c r="R29" s="46"/>
      <c r="X29" s="59"/>
    </row>
    <row r="30" spans="2:24" x14ac:dyDescent="0.2">
      <c r="B30" t="s">
        <v>95</v>
      </c>
      <c r="D30" s="46">
        <f>('SBUX Balance Sheet'!C20-'SBUX Balance Sheet'!C16)/'SBUX Balance Sheet'!P20</f>
        <v>0.55899669239250283</v>
      </c>
      <c r="E30" s="46">
        <f>('SBUX Balance Sheet'!D20-'SBUX Balance Sheet'!D16)/'SBUX Balance Sheet'!Q20</f>
        <v>0.58821011631515308</v>
      </c>
      <c r="F30" s="46">
        <f>('SBUX Balance Sheet'!E20-'SBUX Balance Sheet'!E16)/'SBUX Balance Sheet'!R20</f>
        <v>0.5290871741078258</v>
      </c>
      <c r="G30" s="46">
        <f>('SBUX Balance Sheet'!F20-'SBUX Balance Sheet'!F16)/'SBUX Balance Sheet'!S20</f>
        <v>1.0001349461442206</v>
      </c>
      <c r="H30" s="46">
        <f>+('SBUX Balance Sheet'!G20-'SBUX Balance Sheet'!G16)/'SBUX Balance Sheet'!T20</f>
        <v>0.85139108183154566</v>
      </c>
      <c r="I30" s="46">
        <f>+('SBUX Balance Sheet'!H20-'SBUX Balance Sheet'!H16)/'SBUX Balance Sheet'!U20</f>
        <v>0.66861737481154859</v>
      </c>
      <c r="J30" s="46">
        <f>+('SBUX Balance Sheet'!I20-'SBUX Balance Sheet'!I16)/'SBUX Balance Sheet'!V20</f>
        <v>1.9516730586538122</v>
      </c>
      <c r="K30" s="46">
        <f>+('SBUX Balance Sheet'!J20-'SBUX Balance Sheet'!J16)/'SBUX Balance Sheet'!W20</f>
        <v>0.92861373705783401</v>
      </c>
      <c r="L30" s="46">
        <f>+('SBUX Balance Sheet'!K20-'SBUX Balance Sheet'!K16)/'SBUX Balance Sheet'!X20</f>
        <v>0.74380347049638218</v>
      </c>
      <c r="M30" s="46">
        <f>+('SBUX Balance Sheet'!L20-'SBUX Balance Sheet'!L16)/'SBUX Balance Sheet'!Y20</f>
        <v>0.73040760944053074</v>
      </c>
      <c r="N30" s="46">
        <f>+('SBUX Balance Sheet'!M20-'SBUX Balance Sheet'!M16)/'SBUX Balance Sheet'!Z20</f>
        <v>1.0128673445881462</v>
      </c>
      <c r="R30" s="46"/>
      <c r="X30" s="59"/>
    </row>
    <row r="31" spans="2:24" x14ac:dyDescent="0.2">
      <c r="B31" t="s">
        <v>101</v>
      </c>
      <c r="D31" s="45">
        <f>(D15+D14)-D16</f>
        <v>18.181655252666559</v>
      </c>
      <c r="E31" s="45">
        <f t="shared" ref="E31:G31" si="0">(E15+E14)-E16</f>
        <v>20.398705757470701</v>
      </c>
      <c r="F31" s="45">
        <f t="shared" si="0"/>
        <v>39.313250669457666</v>
      </c>
      <c r="G31" s="45">
        <f t="shared" si="0"/>
        <v>28.192038469564892</v>
      </c>
      <c r="H31" s="45">
        <f t="shared" ref="H31:I31" si="1">+H14+H15-H16</f>
        <v>0</v>
      </c>
      <c r="I31" s="45">
        <f t="shared" si="1"/>
        <v>0</v>
      </c>
      <c r="J31" s="45">
        <f>+J14+J15-J16</f>
        <v>0</v>
      </c>
      <c r="K31" s="45">
        <f>+K14+K15-K16</f>
        <v>0</v>
      </c>
      <c r="L31" s="45">
        <f>+L14+L15-L16</f>
        <v>0</v>
      </c>
      <c r="M31" s="45">
        <f t="shared" ref="M31:N31" si="2">+M14+M15-M16</f>
        <v>0</v>
      </c>
      <c r="N31" s="45">
        <f t="shared" si="2"/>
        <v>0</v>
      </c>
      <c r="R31" s="45"/>
      <c r="X31" s="59"/>
    </row>
    <row r="32" spans="2:24" ht="16" thickBot="1" x14ac:dyDescent="0.25"/>
    <row r="33" spans="2:24" ht="16" thickBot="1" x14ac:dyDescent="0.25">
      <c r="B33" s="193" t="s">
        <v>96</v>
      </c>
      <c r="C33" s="194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</row>
    <row r="34" spans="2:24" x14ac:dyDescent="0.2">
      <c r="B34" t="s">
        <v>156</v>
      </c>
      <c r="D34" s="79">
        <f>'SBUX Income Statement'!C31/'SBUX Balance Sheet'!P32</f>
        <v>-0.50489333995623498</v>
      </c>
      <c r="E34" s="79">
        <f>'SBUX Income Statement'!D31/'SBUX Balance Sheet'!Q32</f>
        <v>-0.51589783359183494</v>
      </c>
      <c r="F34" s="79">
        <f>'SBUX Income Statement'!E31/'SBUX Balance Sheet'!R32</f>
        <v>-0.37690947097604149</v>
      </c>
      <c r="G34" s="79">
        <f>'SBUX Income Statement'!F31/'SBUX Balance Sheet'!S32</f>
        <v>-0.78916409832368661</v>
      </c>
      <c r="H34" s="79">
        <f>+'SBUX Income Statement'!G31/'SBUX Balance Sheet'!T34</f>
        <v>-0.11884826138167619</v>
      </c>
      <c r="I34" s="79">
        <f>+'SBUX Income Statement'!H31/'SBUX Balance Sheet'!U34</f>
        <v>-0.57740558924503482</v>
      </c>
      <c r="J34" s="79">
        <f>+'SBUX Income Statement'!I31/'SBUX Balance Sheet'!V34</f>
        <v>8.3317572214580462</v>
      </c>
      <c r="K34" s="79">
        <f>+'SBUX Income Statement'!J31/'SBUX Balance Sheet'!W34</f>
        <v>1.462907848324515</v>
      </c>
      <c r="L34" s="79">
        <f>+'SBUX Income Statement'!K31/'SBUX Balance Sheet'!X34</f>
        <v>3.4281387712044644</v>
      </c>
      <c r="M34" s="79">
        <f>+'SBUX Income Statement'!L31/'SBUX Balance Sheet'!Y34</f>
        <v>3.1145077542037756</v>
      </c>
      <c r="N34" s="79">
        <f>+'SBUX Income Statement'!M31/'SBUX Balance Sheet'!Z34</f>
        <v>2.8790770923856326</v>
      </c>
      <c r="S34" s="79"/>
      <c r="X34" s="59"/>
    </row>
    <row r="35" spans="2:24" x14ac:dyDescent="0.2">
      <c r="B35" t="s">
        <v>157</v>
      </c>
      <c r="D35" s="80">
        <f>'SBUX Income Statement'!C31/'SBUX Balance Sheet'!C35</f>
        <v>0.11825539568345318</v>
      </c>
      <c r="E35" s="80">
        <f>'SBUX Income Statement'!D31/'SBUX Balance Sheet'!D35</f>
        <v>0.14007233702942731</v>
      </c>
      <c r="F35" s="80">
        <f>'SBUX Income Statement'!E31/'SBUX Balance Sheet'!E35</f>
        <v>0.11729048122837629</v>
      </c>
      <c r="G35" s="80">
        <f>'SBUX Income Statement'!F31/'SBUX Balance Sheet'!F35</f>
        <v>0.13376719354242725</v>
      </c>
      <c r="H35" s="80">
        <f>+'SBUX Income Statement'!G31/'SBUX Balance Sheet'!G35</f>
        <v>3.1602240038128185E-2</v>
      </c>
      <c r="I35" s="80">
        <f>+'SBUX Income Statement'!H31/'SBUX Balance Sheet'!H35</f>
        <v>0.187267164769298</v>
      </c>
      <c r="J35" s="80">
        <f>+'SBUX Income Statement'!I31/'SBUX Balance Sheet'!I35</f>
        <v>0.40119802619595635</v>
      </c>
      <c r="K35" s="80">
        <f>+'SBUX Income Statement'!J31/'SBUX Balance Sheet'!J35</f>
        <v>0.55430333574650559</v>
      </c>
      <c r="L35" s="47">
        <f>+'SBUX Income Statement'!K31/'SBUX Balance Sheet'!K35</f>
        <v>1.4060644125754562</v>
      </c>
      <c r="M35" s="47">
        <f>+'SBUX Income Statement'!L31/'SBUX Balance Sheet'!L35</f>
        <v>1.4589370424361525</v>
      </c>
      <c r="N35" s="47">
        <f>+'SBUX Income Statement'!M31/'SBUX Balance Sheet'!M35</f>
        <v>1.4111170009950804</v>
      </c>
      <c r="S35" s="80"/>
      <c r="X35" s="59"/>
    </row>
    <row r="36" spans="2:24" x14ac:dyDescent="0.2">
      <c r="B36" t="s">
        <v>158</v>
      </c>
      <c r="D36" s="80">
        <f>('SBUX Income Statement'!C21-'SBUX Income Statement'!C28)/('SBUX Balance Sheet'!P32+'SBUX Balance Sheet'!P26)</f>
        <v>0.13409613175028726</v>
      </c>
      <c r="E36" s="80">
        <f>('SBUX Income Statement'!D21-'SBUX Income Statement'!D28)/('SBUX Balance Sheet'!Q32+'SBUX Balance Sheet'!Q26)</f>
        <v>0.15604055913174925</v>
      </c>
      <c r="F36" s="80">
        <f>('SBUX Income Statement'!E21-'SBUX Income Statement'!E28)/('SBUX Balance Sheet'!R32+'SBUX Balance Sheet'!R26)</f>
        <v>0.13118464096101259</v>
      </c>
      <c r="G36" s="80">
        <f>('SBUX Income Statement'!F21-'SBUX Income Statement'!F28)/('SBUX Balance Sheet'!S32+'SBUX Balance Sheet'!S26)</f>
        <v>0.11838118390742339</v>
      </c>
      <c r="H36" s="80">
        <f>(+'SBUX Income Statement'!G21-'SBUX Income Statement'!G28)/('SBUX Balance Sheet'!T19+'SBUX Balance Sheet'!T21+'SBUX Balance Sheet'!T32)</f>
        <v>0.15474295346006137</v>
      </c>
      <c r="I36" s="80">
        <f>(+'SBUX Income Statement'!H21-'SBUX Income Statement'!H28)/('SBUX Balance Sheet'!U19+'SBUX Balance Sheet'!U21+'SBUX Balance Sheet'!U32)</f>
        <v>0.64973251195590498</v>
      </c>
      <c r="J36" s="80">
        <f>(+'SBUX Income Statement'!I21-'SBUX Income Statement'!I28)/('SBUX Balance Sheet'!V19+'SBUX Balance Sheet'!V21+'SBUX Balance Sheet'!V32)</f>
        <v>0.24706869250490121</v>
      </c>
      <c r="K36" s="80">
        <f>(+'SBUX Income Statement'!J21-'SBUX Income Statement'!J28)/('SBUX Balance Sheet'!W19+'SBUX Balance Sheet'!W21+'SBUX Balance Sheet'!W32)</f>
        <v>0.28798746629435024</v>
      </c>
      <c r="L36" s="80">
        <f>(+'SBUX Income Statement'!K21-'SBUX Income Statement'!K28)/('SBUX Balance Sheet'!X19+'SBUX Balance Sheet'!X21+'SBUX Balance Sheet'!X32)</f>
        <v>1.2245050705234972</v>
      </c>
      <c r="M36" s="80">
        <f>(+'SBUX Income Statement'!L21-'SBUX Income Statement'!L28)/('SBUX Balance Sheet'!Y19+'SBUX Balance Sheet'!Y21+'SBUX Balance Sheet'!Y32)</f>
        <v>1.2437450247994613</v>
      </c>
      <c r="N36" s="80">
        <f>(+'SBUX Income Statement'!M21-'SBUX Income Statement'!M28)/('SBUX Balance Sheet'!Z19+'SBUX Balance Sheet'!Z21+'SBUX Balance Sheet'!Z32)</f>
        <v>1.2036801770419245</v>
      </c>
      <c r="S36" s="80"/>
      <c r="X36" s="59"/>
    </row>
    <row r="37" spans="2:24" ht="16" thickBot="1" x14ac:dyDescent="0.25">
      <c r="D37" s="79"/>
      <c r="E37" s="79"/>
      <c r="F37" s="79"/>
      <c r="G37" s="79"/>
      <c r="H37" s="48"/>
      <c r="I37" s="48"/>
      <c r="J37" s="48"/>
    </row>
    <row r="38" spans="2:24" ht="16" thickBot="1" x14ac:dyDescent="0.25">
      <c r="B38" s="193" t="s">
        <v>97</v>
      </c>
      <c r="C38" s="194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</row>
    <row r="39" spans="2:24" x14ac:dyDescent="0.2">
      <c r="B39" t="s">
        <v>109</v>
      </c>
      <c r="D39" vm="1">
        <f ca="1">INDEX(_xlfn.STOCKHISTORY("SBUX", DATE(2024,12,30)), 2, 2)</f>
        <v>90.58</v>
      </c>
      <c r="E39" vm="2">
        <f ca="1">INDEX(_xlfn.STOCKHISTORY("SBUX", DATE(2023,12,29)), 2, 2)</f>
        <v>96.01</v>
      </c>
      <c r="F39" vm="1">
        <f ca="1">INDEX(_xlfn.STOCKHISTORY("SBUX", DATE(2024,12,30)), 2, 2)</f>
        <v>90.58</v>
      </c>
      <c r="G39" vm="3">
        <f ca="1">INDEX(_xlfn.STOCKHISTORY("SBUX", DATE(2024,12,31)), 2, 2)</f>
        <v>91.25</v>
      </c>
      <c r="H39">
        <v>84.3</v>
      </c>
      <c r="I39">
        <v>88.37</v>
      </c>
      <c r="J39">
        <v>63.77</v>
      </c>
      <c r="K39">
        <v>53.86</v>
      </c>
      <c r="L39">
        <v>53.84</v>
      </c>
      <c r="M39">
        <v>55.77</v>
      </c>
      <c r="N39" s="46">
        <v>37.634999999999998</v>
      </c>
      <c r="X39" s="59"/>
    </row>
    <row r="40" spans="2:24" x14ac:dyDescent="0.2">
      <c r="B40" t="s">
        <v>108</v>
      </c>
      <c r="D40" s="58">
        <f>'SBUX Income Statement'!C31/'SBUX Income Statement'!C37</f>
        <v>3.3068671414754229</v>
      </c>
      <c r="E40" s="58">
        <f>'SBUX Income Statement'!D31/'SBUX Income Statement'!D37</f>
        <v>3.5824719881872684</v>
      </c>
      <c r="F40" s="58">
        <f>'SBUX Income Statement'!E31/'SBUX Income Statement'!E37</f>
        <v>2.8326283987915435</v>
      </c>
      <c r="G40" s="58">
        <f>'SBUX Income Statement'!F31/'SBUX Income Statement'!F37</f>
        <v>3.5422184732180524</v>
      </c>
      <c r="H40" s="58">
        <f>+'SBUX Income Statement'!G34</f>
        <v>0.79</v>
      </c>
      <c r="I40" s="58">
        <f>+'SBUX Income Statement'!H34</f>
        <v>2.9185857930587091</v>
      </c>
      <c r="J40" s="58">
        <f>+'SBUX Income Statement'!I34</f>
        <v>6.9493044600602323</v>
      </c>
      <c r="K40" s="58">
        <f>+'SBUX Income Statement'!J34</f>
        <v>5.4484433800889498</v>
      </c>
      <c r="L40" s="58">
        <f>+'SBUX Income Statement'!K34</f>
        <v>1.9</v>
      </c>
      <c r="M40" s="58">
        <f>+'SBUX Income Statement'!L34</f>
        <v>1.82</v>
      </c>
      <c r="N40" s="58">
        <f>+'SBUX Income Statement'!M34</f>
        <v>1.35</v>
      </c>
      <c r="X40" s="59"/>
    </row>
    <row r="41" spans="2:24" x14ac:dyDescent="0.2">
      <c r="B41" t="s">
        <v>98</v>
      </c>
      <c r="D41" s="46">
        <f ca="1">D39/D40</f>
        <v>27.391484485096662</v>
      </c>
      <c r="E41" s="46">
        <f t="shared" ref="E41:G41" ca="1" si="3">E39/E40</f>
        <v>26.799930415807964</v>
      </c>
      <c r="F41" s="46">
        <f t="shared" ca="1" si="3"/>
        <v>31.97736774744024</v>
      </c>
      <c r="G41" s="46">
        <f t="shared" ca="1" si="3"/>
        <v>25.760692258233508</v>
      </c>
      <c r="H41" s="46">
        <f t="shared" ref="H41:I41" si="4">+H39/H40</f>
        <v>106.70886075949366</v>
      </c>
      <c r="I41" s="46">
        <f t="shared" si="4"/>
        <v>30.278362969548791</v>
      </c>
      <c r="J41" s="46">
        <f t="shared" ref="J41:N41" si="5">+J39/J40</f>
        <v>9.1764579270494764</v>
      </c>
      <c r="K41" s="46">
        <f t="shared" si="5"/>
        <v>9.8853922565899364</v>
      </c>
      <c r="L41" s="46">
        <f t="shared" si="5"/>
        <v>28.336842105263162</v>
      </c>
      <c r="M41" s="46">
        <f t="shared" si="5"/>
        <v>30.642857142857142</v>
      </c>
      <c r="N41" s="46">
        <f t="shared" si="5"/>
        <v>27.877777777777773</v>
      </c>
      <c r="X41" s="59"/>
    </row>
    <row r="42" spans="2:24" x14ac:dyDescent="0.2">
      <c r="B42" t="s">
        <v>110</v>
      </c>
      <c r="D42" s="134">
        <f>-('SBUX Cash Flow'!D38)</f>
        <v>2585</v>
      </c>
      <c r="E42" s="134">
        <f>-('SBUX Cash Flow'!E38)</f>
        <v>2431.8000000000002</v>
      </c>
      <c r="F42" s="134">
        <f>-('SBUX Cash Flow'!F38)</f>
        <v>2263.3000000000002</v>
      </c>
      <c r="G42" s="134">
        <f>-('SBUX Cash Flow'!G38)</f>
        <v>2119</v>
      </c>
      <c r="H42" s="134">
        <f>0.41*4</f>
        <v>1.64</v>
      </c>
      <c r="I42" s="51">
        <f>0.36*4</f>
        <v>1.44</v>
      </c>
      <c r="J42" s="51">
        <f>0.3*4</f>
        <v>1.2</v>
      </c>
      <c r="K42" s="51">
        <f>0.25*4</f>
        <v>1</v>
      </c>
      <c r="L42" s="51">
        <f>0.2*4</f>
        <v>0.8</v>
      </c>
      <c r="M42" s="51">
        <f>0.16*4</f>
        <v>0.64</v>
      </c>
      <c r="N42" s="51">
        <f>0.13*4</f>
        <v>0.52</v>
      </c>
      <c r="X42" s="59"/>
    </row>
    <row r="43" spans="2:24" x14ac:dyDescent="0.2">
      <c r="B43" t="s">
        <v>99</v>
      </c>
      <c r="D43" s="80">
        <f>D42/'SBUX Income Statement'!C31</f>
        <v>0.68733547821000329</v>
      </c>
      <c r="E43" s="80">
        <f>E42/'SBUX Income Statement'!D31</f>
        <v>0.58959873924111994</v>
      </c>
      <c r="F43" s="80">
        <f>F42/'SBUX Income Statement'!E31</f>
        <v>0.68969405168210574</v>
      </c>
      <c r="G43" s="80">
        <f>G42/'SBUX Income Statement'!F31</f>
        <v>0.50460791084228307</v>
      </c>
      <c r="H43" s="80">
        <f t="shared" ref="H43:I43" si="6">+H42/H40</f>
        <v>2.0759493670886076</v>
      </c>
      <c r="I43" s="47">
        <f t="shared" si="6"/>
        <v>0.49338964214269837</v>
      </c>
      <c r="J43" s="47">
        <f>+J42/J40</f>
        <v>0.17267915183408142</v>
      </c>
      <c r="K43" s="47">
        <f>+K42/K40</f>
        <v>0.18353866053824611</v>
      </c>
      <c r="L43" s="47">
        <f>+L42/L40</f>
        <v>0.4210526315789474</v>
      </c>
      <c r="M43" s="47">
        <f t="shared" ref="M43:N43" si="7">+M42/M40</f>
        <v>0.35164835164835162</v>
      </c>
      <c r="N43" s="47">
        <f t="shared" si="7"/>
        <v>0.38518518518518519</v>
      </c>
      <c r="X43" s="59"/>
    </row>
    <row r="44" spans="2:24" x14ac:dyDescent="0.2">
      <c r="B44" t="s">
        <v>100</v>
      </c>
      <c r="D44" s="135">
        <f ca="1">((D42/'SBUX Income Statement'!C36)/D39)</f>
        <v>2.5170496275720794E-2</v>
      </c>
      <c r="E44" s="135">
        <f ca="1">((E42/'SBUX Income Statement'!D36)/E39)</f>
        <v>2.2086337288941427E-2</v>
      </c>
      <c r="F44" s="135">
        <f ca="1">((F42/'SBUX Income Statement'!E36)/F39)</f>
        <v>2.1665440078378104E-2</v>
      </c>
      <c r="G44" s="135">
        <f ca="1">((G42/'SBUX Income Statement'!F36)/G39)</f>
        <v>1.9719699225729602E-2</v>
      </c>
      <c r="H44" s="135">
        <f t="shared" ref="H44:I44" si="8">+H42/H39</f>
        <v>1.9454329774614473E-2</v>
      </c>
      <c r="I44" s="44">
        <f t="shared" si="8"/>
        <v>1.6295122779223715E-2</v>
      </c>
      <c r="J44" s="44">
        <f>+J42/J39</f>
        <v>1.8817625842872821E-2</v>
      </c>
      <c r="K44" s="44">
        <f>+K42/K39</f>
        <v>1.8566654288897141E-2</v>
      </c>
      <c r="L44" s="44">
        <f>+L42/L39</f>
        <v>1.4858841010401188E-2</v>
      </c>
      <c r="M44" s="44">
        <f t="shared" ref="M44:N44" si="9">+M42/M39</f>
        <v>1.1475703783396091E-2</v>
      </c>
      <c r="N44" s="44">
        <f t="shared" si="9"/>
        <v>1.3816925734024181E-2</v>
      </c>
      <c r="X44" s="59"/>
    </row>
  </sheetData>
  <mergeCells count="9">
    <mergeCell ref="B3:F3"/>
    <mergeCell ref="B4:F4"/>
    <mergeCell ref="U24:W24"/>
    <mergeCell ref="B38:C38"/>
    <mergeCell ref="B7:C7"/>
    <mergeCell ref="B13:C13"/>
    <mergeCell ref="B20:C20"/>
    <mergeCell ref="B28:C28"/>
    <mergeCell ref="B33:C33"/>
  </mergeCells>
  <phoneticPr fontId="20" type="noConversion"/>
  <pageMargins left="0.7" right="0.7" top="0.75" bottom="0.75" header="0.3" footer="0.3"/>
  <pageSetup scale="79" orientation="portrait" r:id="rId1"/>
  <ignoredErrors>
    <ignoredError sqref="F6:N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34</vt:i4>
      </vt:variant>
    </vt:vector>
  </HeadingPairs>
  <TitlesOfParts>
    <vt:vector size="38" baseType="lpstr">
      <vt:lpstr>SBUX Income Statement</vt:lpstr>
      <vt:lpstr>SBUX Balance Sheet</vt:lpstr>
      <vt:lpstr>SBUX Cash Flow</vt:lpstr>
      <vt:lpstr>SBUX Ratios</vt:lpstr>
      <vt:lpstr>AcctPayableDays</vt:lpstr>
      <vt:lpstr>AcctRecDays</vt:lpstr>
      <vt:lpstr>AcctsPayable</vt:lpstr>
      <vt:lpstr>AcctsReceivable</vt:lpstr>
      <vt:lpstr>CFFFA</vt:lpstr>
      <vt:lpstr>CFFIA</vt:lpstr>
      <vt:lpstr>CFFO</vt:lpstr>
      <vt:lpstr>CMLTD</vt:lpstr>
      <vt:lpstr>COGS</vt:lpstr>
      <vt:lpstr>CurrentAssets</vt:lpstr>
      <vt:lpstr>CurrLiabilities</vt:lpstr>
      <vt:lpstr>DeprandAmort</vt:lpstr>
      <vt:lpstr>DilutedEPS</vt:lpstr>
      <vt:lpstr>EBIT</vt:lpstr>
      <vt:lpstr>EBITDA</vt:lpstr>
      <vt:lpstr>EBT</vt:lpstr>
      <vt:lpstr>FCF</vt:lpstr>
      <vt:lpstr>GrossProfit</vt:lpstr>
      <vt:lpstr>IncomeTax</vt:lpstr>
      <vt:lpstr>InterestExpense</vt:lpstr>
      <vt:lpstr>Inventory</vt:lpstr>
      <vt:lpstr>InventoryDays</vt:lpstr>
      <vt:lpstr>Leases</vt:lpstr>
      <vt:lpstr>LongTermDebt</vt:lpstr>
      <vt:lpstr>NetIncome</vt:lpstr>
      <vt:lpstr>'SBUX Balance Sheet'!Print_Area</vt:lpstr>
      <vt:lpstr>'SBUX Cash Flow'!Print_Area</vt:lpstr>
      <vt:lpstr>'SBUX Income Statement'!Print_Area</vt:lpstr>
      <vt:lpstr>'SBUX Ratios'!Print_Area</vt:lpstr>
      <vt:lpstr>Revenue</vt:lpstr>
      <vt:lpstr>TotalAssets</vt:lpstr>
      <vt:lpstr>TotalEquity</vt:lpstr>
      <vt:lpstr>TotalLiabilities</vt:lpstr>
      <vt:lpstr>TotLiabandEquity</vt:lpstr>
    </vt:vector>
  </TitlesOfParts>
  <Company>Wells Fargo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Dixon, David G.</dc:creator>
  <cp:lastModifiedBy>Kasi, Punit Alagappan</cp:lastModifiedBy>
  <cp:lastPrinted>2021-03-07T23:17:49Z</cp:lastPrinted>
  <dcterms:created xsi:type="dcterms:W3CDTF">2017-11-08T16:09:54Z</dcterms:created>
  <dcterms:modified xsi:type="dcterms:W3CDTF">2025-04-27T03:55:38Z</dcterms:modified>
</cp:coreProperties>
</file>