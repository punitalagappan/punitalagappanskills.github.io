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unit\OneDrive\Desktop\Finance website '\"/>
    </mc:Choice>
  </mc:AlternateContent>
  <xr:revisionPtr revIDLastSave="0" documentId="8_{0D159E54-D3C2-41DC-9E03-8232CB6EF34E}" xr6:coauthVersionLast="47" xr6:coauthVersionMax="47" xr10:uidLastSave="{00000000-0000-0000-0000-000000000000}"/>
  <bookViews>
    <workbookView xWindow="-108" yWindow="-108" windowWidth="23256" windowHeight="12456" xr2:uid="{28BDBCF4-0155-394E-A1E5-CECE29133884}"/>
  </bookViews>
  <sheets>
    <sheet name="FINAL ANSWERS" sheetId="1" r:id="rId1"/>
    <sheet name="Logan's Math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9" i="1" l="1"/>
  <c r="C50" i="1" s="1"/>
  <c r="H52" i="1" s="1"/>
  <c r="C55" i="1"/>
  <c r="D59" i="1"/>
  <c r="C57" i="1"/>
  <c r="D33" i="1"/>
  <c r="D34" i="1" s="1"/>
  <c r="C35" i="1" s="1"/>
  <c r="B100" i="3"/>
  <c r="B99" i="3"/>
  <c r="B118" i="3"/>
  <c r="C56" i="1"/>
  <c r="D60" i="1"/>
  <c r="D58" i="1"/>
  <c r="E58" i="1" s="1"/>
  <c r="F58" i="1" s="1"/>
  <c r="G58" i="1" s="1"/>
  <c r="H58" i="1" s="1"/>
  <c r="C78" i="1"/>
  <c r="C77" i="1"/>
  <c r="E144" i="3"/>
  <c r="B145" i="3"/>
  <c r="B147" i="3" s="1"/>
  <c r="B148" i="3" s="1"/>
  <c r="B144" i="3"/>
  <c r="B150" i="3" s="1"/>
  <c r="B151" i="3" s="1"/>
  <c r="B119" i="3"/>
  <c r="B91" i="3"/>
  <c r="B93" i="3" s="1"/>
  <c r="B95" i="3" s="1"/>
  <c r="B97" i="3" s="1"/>
  <c r="B83" i="3"/>
  <c r="B47" i="3"/>
  <c r="B39" i="3"/>
  <c r="B40" i="3" s="1"/>
  <c r="B41" i="3" s="1"/>
  <c r="B43" i="3" s="1"/>
  <c r="B17" i="3"/>
  <c r="C43" i="1"/>
  <c r="D44" i="1" s="1"/>
  <c r="D45" i="1" s="1"/>
  <c r="E33" i="1"/>
  <c r="E34" i="1" s="1"/>
  <c r="F33" i="1"/>
  <c r="F34" i="1" s="1"/>
  <c r="G33" i="1"/>
  <c r="G34" i="1" s="1"/>
  <c r="H33" i="1"/>
  <c r="H34" i="1" s="1"/>
  <c r="D25" i="1"/>
  <c r="E25" i="1" s="1"/>
  <c r="F25" i="1" s="1"/>
  <c r="F43" i="1" s="1"/>
  <c r="G44" i="1" s="1"/>
  <c r="G45" i="1" s="1"/>
  <c r="C62" i="1"/>
  <c r="D75" i="1"/>
  <c r="C79" i="1" s="1"/>
  <c r="D12" i="1"/>
  <c r="E12" i="1" s="1"/>
  <c r="F12" i="1" s="1"/>
  <c r="G12" i="1" s="1"/>
  <c r="H12" i="1" s="1"/>
  <c r="I12" i="1" s="1"/>
  <c r="C26" i="1"/>
  <c r="C40" i="1" s="1"/>
  <c r="E20" i="1"/>
  <c r="F20" i="1" s="1"/>
  <c r="G20" i="1" s="1"/>
  <c r="H20" i="1" s="1"/>
  <c r="E17" i="1"/>
  <c r="E19" i="1" s="1"/>
  <c r="F17" i="1"/>
  <c r="F19" i="1" s="1"/>
  <c r="G17" i="1"/>
  <c r="G19" i="1" s="1"/>
  <c r="H17" i="1"/>
  <c r="H19" i="1" s="1"/>
  <c r="D17" i="1"/>
  <c r="D19" i="1" s="1"/>
  <c r="D26" i="1" s="1"/>
  <c r="E13" i="1"/>
  <c r="F13" i="1" s="1"/>
  <c r="G13" i="1" s="1"/>
  <c r="H13" i="1" s="1"/>
  <c r="D46" i="1" l="1"/>
  <c r="D51" i="1"/>
  <c r="C27" i="1"/>
  <c r="D27" i="1"/>
  <c r="D50" i="1"/>
  <c r="G46" i="1"/>
  <c r="D31" i="1"/>
  <c r="D32" i="1" s="1"/>
  <c r="E43" i="1"/>
  <c r="F44" i="1" s="1"/>
  <c r="F45" i="1" s="1"/>
  <c r="F46" i="1" s="1"/>
  <c r="D43" i="1"/>
  <c r="E44" i="1" s="1"/>
  <c r="E45" i="1" s="1"/>
  <c r="E46" i="1" s="1"/>
  <c r="F59" i="1"/>
  <c r="C41" i="1"/>
  <c r="D40" i="1"/>
  <c r="D41" i="1" s="1"/>
  <c r="F26" i="1"/>
  <c r="F50" i="1" s="1"/>
  <c r="C31" i="1"/>
  <c r="C32" i="1" s="1"/>
  <c r="G25" i="1"/>
  <c r="G26" i="1"/>
  <c r="E26" i="1"/>
  <c r="E50" i="1" s="1"/>
  <c r="E59" i="1"/>
  <c r="E60" i="1" s="1"/>
  <c r="G59" i="1"/>
  <c r="G60" i="1" s="1"/>
  <c r="H26" i="1"/>
  <c r="H51" i="1" s="1"/>
  <c r="G50" i="1" l="1"/>
  <c r="G27" i="1"/>
  <c r="G51" i="1"/>
  <c r="H50" i="1"/>
  <c r="I50" i="1" s="1"/>
  <c r="H25" i="1"/>
  <c r="H43" i="1" s="1"/>
  <c r="G43" i="1"/>
  <c r="H44" i="1" s="1"/>
  <c r="H45" i="1" s="1"/>
  <c r="H46" i="1" s="1"/>
  <c r="C46" i="1" s="1"/>
  <c r="C51" i="1"/>
  <c r="E40" i="1"/>
  <c r="E41" i="1" s="1"/>
  <c r="E31" i="1"/>
  <c r="E32" i="1" s="1"/>
  <c r="G40" i="1"/>
  <c r="G41" i="1" s="1"/>
  <c r="G31" i="1"/>
  <c r="G32" i="1" s="1"/>
  <c r="F40" i="1"/>
  <c r="F41" i="1" s="1"/>
  <c r="F31" i="1"/>
  <c r="F32" i="1" s="1"/>
  <c r="H40" i="1"/>
  <c r="H31" i="1"/>
  <c r="H59" i="1"/>
  <c r="H60" i="1" s="1"/>
  <c r="E27" i="1"/>
  <c r="I26" i="1"/>
  <c r="H23" i="1" s="1"/>
  <c r="C23" i="1" s="1"/>
  <c r="H27" i="1"/>
  <c r="F27" i="1"/>
  <c r="E51" i="1"/>
  <c r="F60" i="1"/>
  <c r="F51" i="1"/>
  <c r="C52" i="1" l="1"/>
  <c r="C53" i="1" s="1"/>
  <c r="C28" i="1"/>
  <c r="I40" i="1"/>
  <c r="H37" i="1" s="1"/>
  <c r="C37" i="1" s="1"/>
  <c r="H41" i="1"/>
  <c r="I31" i="1"/>
  <c r="H32" i="1"/>
  <c r="C38" i="1" s="1"/>
  <c r="C39" i="1" s="1"/>
  <c r="C42" i="1" l="1"/>
  <c r="C47" i="1" s="1"/>
  <c r="C63" i="1"/>
  <c r="C64" i="1" s="1"/>
</calcChain>
</file>

<file path=xl/sharedStrings.xml><?xml version="1.0" encoding="utf-8"?>
<sst xmlns="http://schemas.openxmlformats.org/spreadsheetml/2006/main" count="121" uniqueCount="103">
  <si>
    <t>Exhibit 1</t>
  </si>
  <si>
    <t>Sampa Video Financial Summary</t>
  </si>
  <si>
    <t>In $000s</t>
  </si>
  <si>
    <t>FY 2000</t>
  </si>
  <si>
    <t>Sales</t>
  </si>
  <si>
    <t>EBITDA</t>
  </si>
  <si>
    <t>Depreciation</t>
  </si>
  <si>
    <t>Operating Profit</t>
  </si>
  <si>
    <t>Net Income</t>
  </si>
  <si>
    <t>Exhibit 2</t>
  </si>
  <si>
    <t>Projections</t>
  </si>
  <si>
    <t>Estimates</t>
  </si>
  <si>
    <t>EBITD</t>
  </si>
  <si>
    <t xml:space="preserve">EBIT </t>
  </si>
  <si>
    <t>Tax Expense</t>
  </si>
  <si>
    <t>EBIAT</t>
  </si>
  <si>
    <t>CapEx</t>
  </si>
  <si>
    <t>Inv in Working Capital</t>
  </si>
  <si>
    <t>Terminal / Horizon Value &amp; PV of Terminal Value</t>
  </si>
  <si>
    <t>Perpetual Debt</t>
  </si>
  <si>
    <t>Borrowings / Debt Balance</t>
  </si>
  <si>
    <t>1)</t>
  </si>
  <si>
    <t>Free Cash Flow</t>
  </si>
  <si>
    <t>2)</t>
  </si>
  <si>
    <t>3)</t>
  </si>
  <si>
    <t>Use APV method</t>
  </si>
  <si>
    <t>Interest Payment</t>
  </si>
  <si>
    <t>Interest Tax Shield</t>
  </si>
  <si>
    <t>PV of Tax Shield</t>
  </si>
  <si>
    <t>NPV (100% Equity Financed)</t>
  </si>
  <si>
    <t>APV</t>
  </si>
  <si>
    <t>4)</t>
  </si>
  <si>
    <t>Debt Balance</t>
  </si>
  <si>
    <t>5)</t>
  </si>
  <si>
    <t>Terminal Value</t>
  </si>
  <si>
    <t>NPV</t>
  </si>
  <si>
    <t>6a)</t>
  </si>
  <si>
    <t>Annual Tax Shield = Tc * rd *D</t>
  </si>
  <si>
    <t>PV (interest tax shields)</t>
  </si>
  <si>
    <t>Debt Capacity = D/V * Initial Inv</t>
  </si>
  <si>
    <t xml:space="preserve">D/V </t>
  </si>
  <si>
    <t>E/V</t>
  </si>
  <si>
    <t>6b)</t>
  </si>
  <si>
    <t>Exhibit 3</t>
  </si>
  <si>
    <t>Additional Assumptions</t>
  </si>
  <si>
    <t>Risk-free Rate (Rf)</t>
  </si>
  <si>
    <t>Project Cost of Debt (Rd)</t>
  </si>
  <si>
    <t>Market Risk Premium (Rp)</t>
  </si>
  <si>
    <t>Tax Rate</t>
  </si>
  <si>
    <t>Project Debt Beta (Bd)</t>
  </si>
  <si>
    <t>Asset Beta for Kramer and Cityretrieve</t>
  </si>
  <si>
    <t>Cost of Equity (Re)</t>
  </si>
  <si>
    <t>Rf +Be(Rm-Rf)</t>
  </si>
  <si>
    <t>Unlevered Beta (Ba)</t>
  </si>
  <si>
    <t>1.5?</t>
  </si>
  <si>
    <t>new Beta after target cap structure given:</t>
  </si>
  <si>
    <t>Bd(d/v)+Be(E/V) =Ba</t>
  </si>
  <si>
    <t xml:space="preserve">Market Value of Debt </t>
  </si>
  <si>
    <t>0.25(.25)+Be(.075) = 1.5</t>
  </si>
  <si>
    <t>Market Value of Equity</t>
  </si>
  <si>
    <t>Isolate Be</t>
  </si>
  <si>
    <t>Ra When firm is unlevered / Opportunity Cost of Capital</t>
  </si>
  <si>
    <t>0.0625 +0.75Be=1.5</t>
  </si>
  <si>
    <t>Long-term growth rate (g)</t>
  </si>
  <si>
    <t>Divide both sides by 0.75</t>
  </si>
  <si>
    <t>0.083+Be =2</t>
  </si>
  <si>
    <t>Be = 1.92</t>
  </si>
  <si>
    <t>Plug Be back into CAPM Re =</t>
  </si>
  <si>
    <t>FCF 2007</t>
  </si>
  <si>
    <t xml:space="preserve">Project Value </t>
  </si>
  <si>
    <t>1.23 Million</t>
  </si>
  <si>
    <t>Annual Interest Payment</t>
  </si>
  <si>
    <t>Annual Tax Shield</t>
  </si>
  <si>
    <t>Project Value (Tax Shield)</t>
  </si>
  <si>
    <t>Annual Principal PMT</t>
  </si>
  <si>
    <t>Debt Repayment Schedule:</t>
  </si>
  <si>
    <t>Annual Tax Shields</t>
  </si>
  <si>
    <t>Discount Tax Shields CoD (6.8%)</t>
  </si>
  <si>
    <t>B_U</t>
  </si>
  <si>
    <t>B_D</t>
  </si>
  <si>
    <t>D</t>
  </si>
  <si>
    <t>E</t>
  </si>
  <si>
    <t>D/E</t>
  </si>
  <si>
    <t>T_c</t>
  </si>
  <si>
    <t>B_L</t>
  </si>
  <si>
    <t>r_E</t>
  </si>
  <si>
    <t>WACC</t>
  </si>
  <si>
    <t>FCF</t>
  </si>
  <si>
    <t>TV 2006</t>
  </si>
  <si>
    <t>WACC Discounted Cash Flows</t>
  </si>
  <si>
    <t>Total Project Value</t>
  </si>
  <si>
    <t>Debt Value</t>
  </si>
  <si>
    <t>Equity Value</t>
  </si>
  <si>
    <t>PV of Tax Shields</t>
  </si>
  <si>
    <t>Discount</t>
  </si>
  <si>
    <t>TV of Tax Shields</t>
  </si>
  <si>
    <t>TV_TS</t>
  </si>
  <si>
    <t>PV of Terminal Tax Shields</t>
  </si>
  <si>
    <t xml:space="preserve">Initial Debt: </t>
  </si>
  <si>
    <t>When D/V = .25 and E/V = .75, &amp; Tc =0.4, WACC = --&gt;</t>
  </si>
  <si>
    <t>PV of Terminal Value</t>
  </si>
  <si>
    <t>NPV (Assume 100% Equity Financed) + Financing Effects = APV</t>
  </si>
  <si>
    <t>NPV ( Assume 100% Equity Financing) + Financing Effects = APV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</si>
</sst>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_([$$-409]* #,##0.00_);_([$$-409]* \(#,##0.00\);_([$$-409]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0" fillId="0" borderId="3" xfId="0" applyBorder="1"/>
    <xf numFmtId="3" fontId="0" fillId="0" borderId="0" xfId="0" applyNumberFormat="1"/>
    <xf numFmtId="0" fontId="3" fillId="0" borderId="2" xfId="0" applyFont="1" applyBorder="1"/>
    <xf numFmtId="0" fontId="3" fillId="0" borderId="0" xfId="0" applyFont="1"/>
    <xf numFmtId="0" fontId="4" fillId="0" borderId="2" xfId="0" applyFont="1" applyBorder="1"/>
    <xf numFmtId="9" fontId="0" fillId="0" borderId="0" xfId="0" applyNumberFormat="1"/>
    <xf numFmtId="10" fontId="0" fillId="0" borderId="0" xfId="0" applyNumberFormat="1"/>
    <xf numFmtId="9" fontId="0" fillId="0" borderId="3" xfId="0" applyNumberFormat="1" applyBorder="1"/>
    <xf numFmtId="0" fontId="5" fillId="0" borderId="1" xfId="0" applyFont="1" applyBorder="1"/>
    <xf numFmtId="0" fontId="5" fillId="0" borderId="0" xfId="0" applyFont="1"/>
    <xf numFmtId="2" fontId="0" fillId="0" borderId="0" xfId="0" applyNumberFormat="1"/>
    <xf numFmtId="165" fontId="0" fillId="0" borderId="0" xfId="0" applyNumberFormat="1"/>
    <xf numFmtId="165" fontId="3" fillId="0" borderId="0" xfId="0" applyNumberFormat="1" applyFont="1"/>
    <xf numFmtId="164" fontId="0" fillId="0" borderId="0" xfId="1" applyNumberFormat="1" applyFont="1"/>
    <xf numFmtId="0" fontId="2" fillId="0" borderId="0" xfId="0" applyFont="1"/>
    <xf numFmtId="0" fontId="0" fillId="2" borderId="0" xfId="0" applyFill="1"/>
    <xf numFmtId="0" fontId="6" fillId="0" borderId="0" xfId="0" applyFont="1"/>
    <xf numFmtId="164" fontId="6" fillId="0" borderId="0" xfId="1" applyNumberFormat="1" applyFont="1"/>
    <xf numFmtId="165" fontId="0" fillId="0" borderId="0" xfId="1" applyNumberFormat="1" applyFont="1"/>
    <xf numFmtId="0" fontId="2" fillId="3" borderId="0" xfId="0" applyFont="1" applyFill="1" applyAlignment="1">
      <alignment horizontal="center"/>
    </xf>
    <xf numFmtId="166" fontId="0" fillId="0" borderId="0" xfId="0" applyNumberFormat="1"/>
    <xf numFmtId="4" fontId="0" fillId="0" borderId="0" xfId="0" applyNumberFormat="1"/>
    <xf numFmtId="165" fontId="5" fillId="0" borderId="0" xfId="0" applyNumberFormat="1" applyFont="1"/>
    <xf numFmtId="165" fontId="5" fillId="0" borderId="0" xfId="1" applyNumberFormat="1" applyFont="1"/>
    <xf numFmtId="165" fontId="5" fillId="2" borderId="0" xfId="0" applyNumberFormat="1" applyFont="1" applyFill="1"/>
    <xf numFmtId="10" fontId="5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263525</xdr:colOff>
      <xdr:row>15</xdr:row>
      <xdr:rowOff>79375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7ED28121-C554-7024-84E4-D5A2BC365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025"/>
          <a:ext cx="6867525" cy="2924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8</xdr:col>
      <xdr:colOff>244475</xdr:colOff>
      <xdr:row>32</xdr:row>
      <xdr:rowOff>171450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E1C0A1DF-32E8-CEF4-4DF0-17442E8C5630}"/>
            </a:ext>
            <a:ext uri="{147F2762-F138-4A5C-976F-8EAC2B608ADB}">
              <a16:predDERef xmlns:a16="http://schemas.microsoft.com/office/drawing/2014/main" pred="{7ED28121-C554-7024-84E4-D5A2BC365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00500"/>
          <a:ext cx="6848475" cy="2609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171450</xdr:rowOff>
    </xdr:from>
    <xdr:to>
      <xdr:col>6</xdr:col>
      <xdr:colOff>800100</xdr:colOff>
      <xdr:row>57</xdr:row>
      <xdr:rowOff>114300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EA4E4FBC-7557-1683-CF8B-3B993DD6BCE3}"/>
            </a:ext>
            <a:ext uri="{147F2762-F138-4A5C-976F-8EAC2B608ADB}">
              <a16:predDERef xmlns:a16="http://schemas.microsoft.com/office/drawing/2014/main" pred="{E1C0A1DF-32E8-CEF4-4DF0-17442E8C5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772650"/>
          <a:ext cx="6743700" cy="1771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6</xdr:col>
      <xdr:colOff>819150</xdr:colOff>
      <xdr:row>68</xdr:row>
      <xdr:rowOff>136525</xdr:rowOff>
    </xdr:to>
    <xdr:pic>
      <xdr:nvPicPr>
        <xdr:cNvPr id="10" name="Picture 4">
          <a:extLst>
            <a:ext uri="{FF2B5EF4-FFF2-40B4-BE49-F238E27FC236}">
              <a16:creationId xmlns:a16="http://schemas.microsoft.com/office/drawing/2014/main" id="{AB4AE89F-63FF-BDC8-C493-D7AA29BEC135}"/>
            </a:ext>
            <a:ext uri="{147F2762-F138-4A5C-976F-8EAC2B608ADB}">
              <a16:predDERef xmlns:a16="http://schemas.microsoft.com/office/drawing/2014/main" pred="{EA4E4FBC-7557-1683-CF8B-3B993DD6B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2001500"/>
          <a:ext cx="6762750" cy="1762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6</xdr:col>
      <xdr:colOff>819150</xdr:colOff>
      <xdr:row>81</xdr:row>
      <xdr:rowOff>15875</xdr:rowOff>
    </xdr:to>
    <xdr:pic>
      <xdr:nvPicPr>
        <xdr:cNvPr id="12" name="Picture 5">
          <a:extLst>
            <a:ext uri="{FF2B5EF4-FFF2-40B4-BE49-F238E27FC236}">
              <a16:creationId xmlns:a16="http://schemas.microsoft.com/office/drawing/2014/main" id="{396EAE4B-19BE-24E3-9E18-10652FEBCBA8}"/>
            </a:ext>
            <a:ext uri="{147F2762-F138-4A5C-976F-8EAC2B608ADB}">
              <a16:predDERef xmlns:a16="http://schemas.microsoft.com/office/drawing/2014/main" pred="{AB4AE89F-63FF-BDC8-C493-D7AA29BEC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201775"/>
          <a:ext cx="6762750" cy="2047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7</xdr:col>
      <xdr:colOff>12700</xdr:colOff>
      <xdr:row>114</xdr:row>
      <xdr:rowOff>152400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079A5225-11B9-74D6-79FD-16760BCE90F4}"/>
            </a:ext>
            <a:ext uri="{147F2762-F138-4A5C-976F-8EAC2B608ADB}">
              <a16:predDERef xmlns:a16="http://schemas.microsoft.com/office/drawing/2014/main" pred="{396EAE4B-19BE-24E3-9E18-10652FEBC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0402550"/>
          <a:ext cx="6781800" cy="2590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6</xdr:col>
      <xdr:colOff>809625</xdr:colOff>
      <xdr:row>130</xdr:row>
      <xdr:rowOff>146050</xdr:rowOff>
    </xdr:to>
    <xdr:pic>
      <xdr:nvPicPr>
        <xdr:cNvPr id="16" name="Picture 7">
          <a:extLst>
            <a:ext uri="{FF2B5EF4-FFF2-40B4-BE49-F238E27FC236}">
              <a16:creationId xmlns:a16="http://schemas.microsoft.com/office/drawing/2014/main" id="{9EEBCCDA-5CA6-20F2-7766-E8BE685AF488}"/>
            </a:ext>
            <a:ext uri="{147F2762-F138-4A5C-976F-8EAC2B608ADB}">
              <a16:predDERef xmlns:a16="http://schemas.microsoft.com/office/drawing/2014/main" pred="{079A5225-11B9-74D6-79FD-16760BCE9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4345900"/>
          <a:ext cx="6753225" cy="1771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6</xdr:col>
      <xdr:colOff>819150</xdr:colOff>
      <xdr:row>141</xdr:row>
      <xdr:rowOff>165100</xdr:rowOff>
    </xdr:to>
    <xdr:pic>
      <xdr:nvPicPr>
        <xdr:cNvPr id="18" name="Picture 8">
          <a:extLst>
            <a:ext uri="{FF2B5EF4-FFF2-40B4-BE49-F238E27FC236}">
              <a16:creationId xmlns:a16="http://schemas.microsoft.com/office/drawing/2014/main" id="{8896FC9B-59A6-B403-F972-2A90AEE4FCF1}"/>
            </a:ext>
            <a:ext uri="{147F2762-F138-4A5C-976F-8EAC2B608ADB}">
              <a16:predDERef xmlns:a16="http://schemas.microsoft.com/office/drawing/2014/main" pred="{9EEBCCDA-5CA6-20F2-7766-E8BE685AF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6546175"/>
          <a:ext cx="6762750" cy="1790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DC03C-5AE0-704F-84E1-43D994491EF3}">
  <dimension ref="A2:J89"/>
  <sheetViews>
    <sheetView tabSelected="1" workbookViewId="0">
      <selection activeCell="E81" sqref="E81"/>
    </sheetView>
  </sheetViews>
  <sheetFormatPr defaultColWidth="11" defaultRowHeight="15.6" x14ac:dyDescent="0.3"/>
  <cols>
    <col min="2" max="2" width="53" bestFit="1" customWidth="1"/>
    <col min="3" max="3" width="13.796875" customWidth="1"/>
    <col min="4" max="8" width="12.69921875" bestFit="1" customWidth="1"/>
  </cols>
  <sheetData>
    <row r="2" spans="2:9" x14ac:dyDescent="0.3">
      <c r="B2" s="5" t="s">
        <v>0</v>
      </c>
      <c r="C2" s="5" t="s">
        <v>1</v>
      </c>
    </row>
    <row r="4" spans="2:9" x14ac:dyDescent="0.3">
      <c r="B4" s="6" t="s">
        <v>2</v>
      </c>
      <c r="C4" s="6"/>
      <c r="D4" s="4" t="s">
        <v>3</v>
      </c>
    </row>
    <row r="5" spans="2:9" x14ac:dyDescent="0.3">
      <c r="B5" t="s">
        <v>4</v>
      </c>
      <c r="D5" s="3">
        <v>22500</v>
      </c>
    </row>
    <row r="6" spans="2:9" x14ac:dyDescent="0.3">
      <c r="B6" t="s">
        <v>5</v>
      </c>
      <c r="D6" s="3">
        <v>2500</v>
      </c>
    </row>
    <row r="7" spans="2:9" x14ac:dyDescent="0.3">
      <c r="B7" t="s">
        <v>6</v>
      </c>
      <c r="D7" s="3">
        <v>1100</v>
      </c>
    </row>
    <row r="8" spans="2:9" x14ac:dyDescent="0.3">
      <c r="B8" t="s">
        <v>7</v>
      </c>
      <c r="D8" s="3">
        <v>1400</v>
      </c>
    </row>
    <row r="9" spans="2:9" x14ac:dyDescent="0.3">
      <c r="B9" s="1" t="s">
        <v>8</v>
      </c>
      <c r="C9" s="1"/>
      <c r="D9" s="1">
        <v>660</v>
      </c>
    </row>
    <row r="11" spans="2:9" x14ac:dyDescent="0.3">
      <c r="B11" s="5" t="s">
        <v>9</v>
      </c>
      <c r="C11" s="5" t="s">
        <v>10</v>
      </c>
      <c r="D11" t="s">
        <v>11</v>
      </c>
    </row>
    <row r="12" spans="2:9" x14ac:dyDescent="0.3">
      <c r="C12">
        <v>0</v>
      </c>
      <c r="D12" s="5">
        <f>C12+1</f>
        <v>1</v>
      </c>
      <c r="E12" s="5">
        <f t="shared" ref="E12:I12" si="0">D12+1</f>
        <v>2</v>
      </c>
      <c r="F12" s="5">
        <f t="shared" si="0"/>
        <v>3</v>
      </c>
      <c r="G12" s="5">
        <f t="shared" si="0"/>
        <v>4</v>
      </c>
      <c r="H12" s="5">
        <f t="shared" si="0"/>
        <v>5</v>
      </c>
      <c r="I12" s="5">
        <f t="shared" si="0"/>
        <v>6</v>
      </c>
    </row>
    <row r="13" spans="2:9" x14ac:dyDescent="0.3">
      <c r="B13" s="6" t="s">
        <v>2</v>
      </c>
      <c r="C13" s="1">
        <v>2001</v>
      </c>
      <c r="D13" s="1">
        <v>2002</v>
      </c>
      <c r="E13" s="1">
        <f>D13+1</f>
        <v>2003</v>
      </c>
      <c r="F13" s="1">
        <f t="shared" ref="F13:H13" si="1">E13+1</f>
        <v>2004</v>
      </c>
      <c r="G13" s="1">
        <f t="shared" si="1"/>
        <v>2005</v>
      </c>
      <c r="H13" s="1">
        <f t="shared" si="1"/>
        <v>2006</v>
      </c>
      <c r="I13">
        <v>2007</v>
      </c>
    </row>
    <row r="14" spans="2:9" x14ac:dyDescent="0.3">
      <c r="B14" t="s">
        <v>4</v>
      </c>
      <c r="D14" s="3">
        <v>1200</v>
      </c>
      <c r="E14" s="3">
        <v>2400</v>
      </c>
      <c r="F14" s="3">
        <v>3900</v>
      </c>
      <c r="G14" s="3">
        <v>5600</v>
      </c>
      <c r="H14" s="3">
        <v>7500</v>
      </c>
    </row>
    <row r="15" spans="2:9" x14ac:dyDescent="0.3">
      <c r="B15" t="s">
        <v>12</v>
      </c>
      <c r="D15">
        <v>180</v>
      </c>
      <c r="E15">
        <v>360</v>
      </c>
      <c r="F15">
        <v>585</v>
      </c>
      <c r="G15">
        <v>840</v>
      </c>
      <c r="H15">
        <v>1125</v>
      </c>
    </row>
    <row r="16" spans="2:9" x14ac:dyDescent="0.3">
      <c r="B16" t="s">
        <v>6</v>
      </c>
      <c r="D16">
        <v>-200</v>
      </c>
      <c r="E16">
        <v>-225</v>
      </c>
      <c r="F16">
        <v>-250</v>
      </c>
      <c r="G16">
        <v>-275</v>
      </c>
      <c r="H16">
        <v>-300</v>
      </c>
    </row>
    <row r="17" spans="1:10" x14ac:dyDescent="0.3">
      <c r="B17" t="s">
        <v>13</v>
      </c>
      <c r="D17">
        <f>D$16+D$15</f>
        <v>-20</v>
      </c>
      <c r="E17">
        <f t="shared" ref="E17:H17" si="2">E$16+E$15</f>
        <v>135</v>
      </c>
      <c r="F17">
        <f t="shared" si="2"/>
        <v>335</v>
      </c>
      <c r="G17">
        <f t="shared" si="2"/>
        <v>565</v>
      </c>
      <c r="H17">
        <f t="shared" si="2"/>
        <v>825</v>
      </c>
    </row>
    <row r="18" spans="1:10" x14ac:dyDescent="0.3">
      <c r="B18" t="s">
        <v>14</v>
      </c>
      <c r="D18">
        <v>8</v>
      </c>
      <c r="E18">
        <v>-54</v>
      </c>
      <c r="F18">
        <v>-134</v>
      </c>
      <c r="G18">
        <v>-226</v>
      </c>
      <c r="H18">
        <v>-330</v>
      </c>
    </row>
    <row r="19" spans="1:10" x14ac:dyDescent="0.3">
      <c r="B19" t="s">
        <v>15</v>
      </c>
      <c r="D19">
        <f>D$17+D$18</f>
        <v>-12</v>
      </c>
      <c r="E19">
        <f t="shared" ref="E19:H19" si="3">E$17+E$18</f>
        <v>81</v>
      </c>
      <c r="F19">
        <f t="shared" si="3"/>
        <v>201</v>
      </c>
      <c r="G19">
        <f t="shared" si="3"/>
        <v>339</v>
      </c>
      <c r="H19">
        <f t="shared" si="3"/>
        <v>495</v>
      </c>
    </row>
    <row r="20" spans="1:10" x14ac:dyDescent="0.3">
      <c r="A20" s="5"/>
      <c r="B20" t="s">
        <v>16</v>
      </c>
      <c r="C20" s="3">
        <v>1500</v>
      </c>
      <c r="D20" s="11">
        <v>300</v>
      </c>
      <c r="E20" s="11">
        <f>D20</f>
        <v>300</v>
      </c>
      <c r="F20" s="11">
        <f>E20</f>
        <v>300</v>
      </c>
      <c r="G20" s="11">
        <f>F20</f>
        <v>300</v>
      </c>
      <c r="H20" s="11">
        <f>G20</f>
        <v>300</v>
      </c>
    </row>
    <row r="21" spans="1:10" x14ac:dyDescent="0.3">
      <c r="B21" s="1" t="s">
        <v>17</v>
      </c>
      <c r="C21" s="1"/>
      <c r="D21" s="10">
        <v>0</v>
      </c>
      <c r="E21" s="10">
        <v>0</v>
      </c>
      <c r="F21" s="10">
        <v>0</v>
      </c>
      <c r="G21" s="10">
        <v>0</v>
      </c>
      <c r="H21" s="10">
        <v>0</v>
      </c>
    </row>
    <row r="22" spans="1:10" x14ac:dyDescent="0.3">
      <c r="D22" s="11"/>
      <c r="E22" s="11"/>
      <c r="F22" s="11"/>
      <c r="G22" s="11"/>
      <c r="H22" s="11"/>
    </row>
    <row r="23" spans="1:10" x14ac:dyDescent="0.3">
      <c r="B23" t="s">
        <v>18</v>
      </c>
      <c r="C23" s="24">
        <f>H23/(1+C79)^H12</f>
        <v>2311.1490009070035</v>
      </c>
      <c r="D23" s="11"/>
      <c r="E23" s="11"/>
      <c r="F23" s="11"/>
      <c r="G23" s="11"/>
      <c r="H23" s="11">
        <f>I26/(C79-C80)</f>
        <v>4812.4999999999991</v>
      </c>
    </row>
    <row r="24" spans="1:10" x14ac:dyDescent="0.3">
      <c r="B24" t="s">
        <v>19</v>
      </c>
      <c r="C24">
        <v>750</v>
      </c>
      <c r="D24" s="11"/>
      <c r="E24" s="11"/>
      <c r="F24" s="11"/>
      <c r="G24" s="11"/>
      <c r="H24" s="11"/>
    </row>
    <row r="25" spans="1:10" x14ac:dyDescent="0.3">
      <c r="B25" t="s">
        <v>20</v>
      </c>
      <c r="C25">
        <v>750</v>
      </c>
      <c r="D25" s="11">
        <f>C25-($C$25/5)</f>
        <v>600</v>
      </c>
      <c r="E25" s="11">
        <f>D25-($C$25/5)</f>
        <v>450</v>
      </c>
      <c r="F25" s="11">
        <f>E25-($C$25/5)</f>
        <v>300</v>
      </c>
      <c r="G25" s="11">
        <f t="shared" ref="G25" si="4">F25-($C$25/5)</f>
        <v>150</v>
      </c>
      <c r="H25" s="11">
        <f>G25-($C$25/5)</f>
        <v>0</v>
      </c>
    </row>
    <row r="26" spans="1:10" x14ac:dyDescent="0.3">
      <c r="A26" t="s">
        <v>21</v>
      </c>
      <c r="B26" s="11" t="s">
        <v>22</v>
      </c>
      <c r="C26" s="3">
        <f>-C20</f>
        <v>-1500</v>
      </c>
      <c r="D26">
        <f>(D$19-D$16)-D$20</f>
        <v>-112</v>
      </c>
      <c r="E26">
        <f t="shared" ref="E26:G26" si="5">(E$19-E$16)-E$20</f>
        <v>6</v>
      </c>
      <c r="F26">
        <f>(F$19-F$16)-F$20</f>
        <v>151</v>
      </c>
      <c r="G26">
        <f t="shared" si="5"/>
        <v>314</v>
      </c>
      <c r="H26">
        <f>(H$19-H$16)-H$20</f>
        <v>495</v>
      </c>
      <c r="I26" s="17">
        <f>H26*1.05</f>
        <v>519.75</v>
      </c>
    </row>
    <row r="27" spans="1:10" x14ac:dyDescent="0.3">
      <c r="A27" t="s">
        <v>23</v>
      </c>
      <c r="B27" s="11" t="s">
        <v>29</v>
      </c>
      <c r="C27">
        <f t="shared" ref="C27:H27" si="6">C$26/(1+$C$79)^C$12</f>
        <v>-1500</v>
      </c>
      <c r="D27" s="13">
        <f t="shared" si="6"/>
        <v>-96.718480138169269</v>
      </c>
      <c r="E27" s="13">
        <f t="shared" si="6"/>
        <v>4.4743930485829599</v>
      </c>
      <c r="F27" s="13">
        <f t="shared" si="6"/>
        <v>97.241414843987769</v>
      </c>
      <c r="G27" s="13">
        <f t="shared" si="6"/>
        <v>174.62057361408779</v>
      </c>
      <c r="H27" s="13">
        <f t="shared" si="6"/>
        <v>237.71818295043468</v>
      </c>
    </row>
    <row r="28" spans="1:10" x14ac:dyDescent="0.3">
      <c r="B28" s="11"/>
      <c r="C28" s="24">
        <f>SUM(C27:H27)+C23</f>
        <v>1228.4850852259274</v>
      </c>
      <c r="D28" s="13"/>
      <c r="E28" s="13"/>
      <c r="F28" s="13"/>
      <c r="G28" s="13"/>
      <c r="H28" s="13"/>
      <c r="I28" s="14"/>
    </row>
    <row r="29" spans="1:10" x14ac:dyDescent="0.3">
      <c r="B29" s="11"/>
      <c r="C29" s="13"/>
      <c r="D29" s="13"/>
      <c r="E29" s="13"/>
      <c r="F29" s="13"/>
      <c r="G29" s="13"/>
      <c r="H29" s="13"/>
      <c r="I29" s="14"/>
    </row>
    <row r="30" spans="1:10" x14ac:dyDescent="0.3">
      <c r="B30" s="11"/>
      <c r="C30" s="13"/>
      <c r="D30" s="13"/>
      <c r="E30" s="13"/>
      <c r="F30" s="13"/>
      <c r="G30" s="13"/>
      <c r="H30" s="3"/>
      <c r="I30" s="14"/>
    </row>
    <row r="31" spans="1:10" x14ac:dyDescent="0.3">
      <c r="A31" s="17" t="s">
        <v>24</v>
      </c>
      <c r="B31" s="11" t="s">
        <v>25</v>
      </c>
      <c r="C31" s="3">
        <f t="shared" ref="C31:H31" si="7">C26</f>
        <v>-1500</v>
      </c>
      <c r="D31" s="3">
        <f t="shared" si="7"/>
        <v>-112</v>
      </c>
      <c r="E31" s="3">
        <f t="shared" si="7"/>
        <v>6</v>
      </c>
      <c r="F31" s="3">
        <f t="shared" si="7"/>
        <v>151</v>
      </c>
      <c r="G31" s="3">
        <f t="shared" si="7"/>
        <v>314</v>
      </c>
      <c r="H31" s="3">
        <f t="shared" si="7"/>
        <v>495</v>
      </c>
      <c r="I31" s="3">
        <f>H31*(1+C80)</f>
        <v>519.75</v>
      </c>
    </row>
    <row r="32" spans="1:10" x14ac:dyDescent="0.3">
      <c r="A32" s="17"/>
      <c r="B32" s="11" t="s">
        <v>101</v>
      </c>
      <c r="C32" s="13">
        <f t="shared" ref="C32:H32" si="8">C$31/(1+$C$79)^C$12</f>
        <v>-1500</v>
      </c>
      <c r="D32" s="13">
        <f t="shared" si="8"/>
        <v>-96.718480138169269</v>
      </c>
      <c r="E32" s="13">
        <f t="shared" si="8"/>
        <v>4.4743930485829599</v>
      </c>
      <c r="F32" s="13">
        <f t="shared" si="8"/>
        <v>97.241414843987769</v>
      </c>
      <c r="G32" s="13">
        <f t="shared" si="8"/>
        <v>174.62057361408779</v>
      </c>
      <c r="H32" s="13">
        <f t="shared" si="8"/>
        <v>237.71818295043468</v>
      </c>
      <c r="J32" s="13"/>
    </row>
    <row r="33" spans="1:10" x14ac:dyDescent="0.3">
      <c r="A33" s="17"/>
      <c r="B33" s="11" t="s">
        <v>26</v>
      </c>
      <c r="C33" s="13"/>
      <c r="D33" s="13">
        <f>$C$24*$C$70</f>
        <v>51.000000000000007</v>
      </c>
      <c r="E33" s="13">
        <f>$C$24*$C$70</f>
        <v>51.000000000000007</v>
      </c>
      <c r="F33" s="13">
        <f>$C$24*$C$70</f>
        <v>51.000000000000007</v>
      </c>
      <c r="G33" s="13">
        <f>$C$24*$C$70</f>
        <v>51.000000000000007</v>
      </c>
      <c r="H33" s="13">
        <f>$C$24*$C$70</f>
        <v>51.000000000000007</v>
      </c>
      <c r="I33" s="14"/>
      <c r="J33" s="13"/>
    </row>
    <row r="34" spans="1:10" x14ac:dyDescent="0.3">
      <c r="A34" s="17"/>
      <c r="B34" s="11" t="s">
        <v>27</v>
      </c>
      <c r="C34" s="13"/>
      <c r="D34" s="13">
        <f>D$33*$C$72</f>
        <v>20.400000000000006</v>
      </c>
      <c r="E34" s="13">
        <f>E$33*$C$72</f>
        <v>20.400000000000006</v>
      </c>
      <c r="F34" s="13">
        <f>F$33*$C$72</f>
        <v>20.400000000000006</v>
      </c>
      <c r="G34" s="13">
        <f>G$33*$C$72</f>
        <v>20.400000000000006</v>
      </c>
      <c r="H34" s="13">
        <f>H$33*$C$72</f>
        <v>20.400000000000006</v>
      </c>
      <c r="I34" s="14"/>
      <c r="J34" s="13"/>
    </row>
    <row r="35" spans="1:10" x14ac:dyDescent="0.3">
      <c r="A35" s="17"/>
      <c r="B35" s="11" t="s">
        <v>28</v>
      </c>
      <c r="C35" s="24">
        <f>D34/C70</f>
        <v>300.00000000000006</v>
      </c>
      <c r="D35" s="13"/>
      <c r="E35" s="13"/>
      <c r="F35" s="13"/>
      <c r="G35" s="13"/>
      <c r="H35" s="13"/>
      <c r="I35" s="14"/>
      <c r="J35" s="13"/>
    </row>
    <row r="36" spans="1:10" x14ac:dyDescent="0.3">
      <c r="A36" s="17"/>
      <c r="B36" s="18"/>
      <c r="C36" s="19"/>
      <c r="D36" s="13"/>
      <c r="E36" s="13"/>
      <c r="F36" s="13"/>
      <c r="G36" s="13"/>
      <c r="H36" s="13"/>
      <c r="I36" s="14"/>
      <c r="J36" s="13"/>
    </row>
    <row r="37" spans="1:10" x14ac:dyDescent="0.3">
      <c r="A37" s="17"/>
      <c r="B37" s="11" t="s">
        <v>100</v>
      </c>
      <c r="C37" s="13">
        <f>H37/(1+$C$79)^H12</f>
        <v>2311.1490009070035</v>
      </c>
      <c r="D37" s="13"/>
      <c r="E37" s="13"/>
      <c r="F37" s="13"/>
      <c r="G37" s="13"/>
      <c r="H37">
        <f>I40/(C79-C80)</f>
        <v>4812.4999999999991</v>
      </c>
      <c r="I37" s="14"/>
    </row>
    <row r="38" spans="1:10" x14ac:dyDescent="0.3">
      <c r="A38" s="17"/>
      <c r="B38" s="11" t="s">
        <v>29</v>
      </c>
      <c r="C38" s="24">
        <f>SUM(C32:H32)+C37</f>
        <v>1228.4850852259274</v>
      </c>
      <c r="D38" s="13"/>
      <c r="E38" s="13"/>
      <c r="F38" s="13"/>
      <c r="G38" s="13"/>
      <c r="I38" s="14"/>
    </row>
    <row r="39" spans="1:10" x14ac:dyDescent="0.3">
      <c r="A39" s="17"/>
      <c r="B39" s="11" t="s">
        <v>30</v>
      </c>
      <c r="C39" s="24">
        <f>C38+C35</f>
        <v>1528.4850852259274</v>
      </c>
      <c r="D39" s="13"/>
      <c r="E39" s="13"/>
      <c r="F39" s="13"/>
      <c r="G39" s="13"/>
      <c r="I39" s="14"/>
    </row>
    <row r="40" spans="1:10" x14ac:dyDescent="0.3">
      <c r="A40" s="17" t="s">
        <v>31</v>
      </c>
      <c r="B40" s="11" t="s">
        <v>25</v>
      </c>
      <c r="C40" s="3">
        <f t="shared" ref="C40:H40" si="9">C26</f>
        <v>-1500</v>
      </c>
      <c r="D40">
        <f t="shared" si="9"/>
        <v>-112</v>
      </c>
      <c r="E40">
        <f t="shared" si="9"/>
        <v>6</v>
      </c>
      <c r="F40">
        <f t="shared" si="9"/>
        <v>151</v>
      </c>
      <c r="G40">
        <f t="shared" si="9"/>
        <v>314</v>
      </c>
      <c r="H40">
        <f t="shared" si="9"/>
        <v>495</v>
      </c>
      <c r="I40">
        <f>H40*(1+C80)</f>
        <v>519.75</v>
      </c>
    </row>
    <row r="41" spans="1:10" x14ac:dyDescent="0.3">
      <c r="B41" s="11" t="s">
        <v>102</v>
      </c>
      <c r="C41" s="13">
        <f t="shared" ref="C41:H41" si="10">C$40/(1+$C$79)^C$12</f>
        <v>-1500</v>
      </c>
      <c r="D41" s="13">
        <f t="shared" si="10"/>
        <v>-96.718480138169269</v>
      </c>
      <c r="E41" s="13">
        <f t="shared" si="10"/>
        <v>4.4743930485829599</v>
      </c>
      <c r="F41" s="13">
        <f t="shared" si="10"/>
        <v>97.241414843987769</v>
      </c>
      <c r="G41" s="13">
        <f t="shared" si="10"/>
        <v>174.62057361408779</v>
      </c>
      <c r="H41" s="13">
        <f t="shared" si="10"/>
        <v>237.71818295043468</v>
      </c>
    </row>
    <row r="42" spans="1:10" x14ac:dyDescent="0.3">
      <c r="C42" s="24">
        <f>SUM(C41:H41)+C37</f>
        <v>1228.4850852259274</v>
      </c>
      <c r="D42" s="13"/>
      <c r="E42" s="13"/>
      <c r="F42" s="13"/>
      <c r="G42" s="13"/>
      <c r="H42" s="13"/>
      <c r="I42" s="14"/>
    </row>
    <row r="43" spans="1:10" x14ac:dyDescent="0.3">
      <c r="B43" t="s">
        <v>32</v>
      </c>
      <c r="C43" s="13">
        <f>C$25</f>
        <v>750</v>
      </c>
      <c r="D43" s="13">
        <f t="shared" ref="D43:H43" si="11">D$25</f>
        <v>600</v>
      </c>
      <c r="E43" s="13">
        <f t="shared" si="11"/>
        <v>450</v>
      </c>
      <c r="F43" s="13">
        <f t="shared" si="11"/>
        <v>300</v>
      </c>
      <c r="G43" s="13">
        <f t="shared" si="11"/>
        <v>150</v>
      </c>
      <c r="H43" s="13">
        <f t="shared" si="11"/>
        <v>0</v>
      </c>
      <c r="I43" s="14"/>
    </row>
    <row r="44" spans="1:10" x14ac:dyDescent="0.3">
      <c r="B44" t="s">
        <v>26</v>
      </c>
      <c r="C44" s="15"/>
      <c r="D44">
        <f>C$43*$C$70</f>
        <v>51.000000000000007</v>
      </c>
      <c r="E44">
        <f>D$43*$C$70</f>
        <v>40.800000000000004</v>
      </c>
      <c r="F44">
        <f>E$43*$C$70</f>
        <v>30.6</v>
      </c>
      <c r="G44">
        <f>F$43*$C$70</f>
        <v>20.400000000000002</v>
      </c>
      <c r="H44">
        <f>G$43*$C$70</f>
        <v>10.200000000000001</v>
      </c>
    </row>
    <row r="45" spans="1:10" x14ac:dyDescent="0.3">
      <c r="B45" t="s">
        <v>27</v>
      </c>
      <c r="C45" s="15"/>
      <c r="D45" s="13">
        <f>D$44*$C$72</f>
        <v>20.400000000000006</v>
      </c>
      <c r="E45" s="13">
        <f>E$44*$C$72</f>
        <v>16.320000000000004</v>
      </c>
      <c r="F45" s="13">
        <f>F$44*$C$72</f>
        <v>12.240000000000002</v>
      </c>
      <c r="G45" s="13">
        <f>G$44*$C$72</f>
        <v>8.1600000000000019</v>
      </c>
      <c r="H45" s="13">
        <f>H$44*$C$72</f>
        <v>4.080000000000001</v>
      </c>
    </row>
    <row r="46" spans="1:10" x14ac:dyDescent="0.3">
      <c r="B46" t="s">
        <v>28</v>
      </c>
      <c r="C46" s="25">
        <f>SUM(D46:H46)</f>
        <v>52.665114953080398</v>
      </c>
      <c r="D46" s="13">
        <f>D$45/(1+$C$70)^D$12</f>
        <v>19.101123595505623</v>
      </c>
      <c r="E46" s="13">
        <f>E$45/(1+$C$70)^E$12</f>
        <v>14.307957749442412</v>
      </c>
      <c r="F46" s="13">
        <f>F$45/(1+$C$70)^F$12</f>
        <v>10.047723138653378</v>
      </c>
      <c r="G46" s="13">
        <f>G$45/(1+$C$70)^G$12</f>
        <v>6.2719869779359412</v>
      </c>
      <c r="H46" s="13">
        <f>H$45/(1+$C$70)^H$12</f>
        <v>2.9363234915430438</v>
      </c>
    </row>
    <row r="47" spans="1:10" x14ac:dyDescent="0.3">
      <c r="B47" t="s">
        <v>30</v>
      </c>
      <c r="C47" s="20">
        <f>C42+C46</f>
        <v>1281.1502001790077</v>
      </c>
      <c r="D47" s="12"/>
      <c r="E47" s="12"/>
      <c r="F47" s="12"/>
      <c r="G47" s="12"/>
      <c r="H47" s="12"/>
      <c r="I47" s="12"/>
    </row>
    <row r="48" spans="1:10" x14ac:dyDescent="0.3">
      <c r="C48" s="15"/>
    </row>
    <row r="49" spans="1:9" x14ac:dyDescent="0.3">
      <c r="C49" s="15"/>
    </row>
    <row r="50" spans="1:9" x14ac:dyDescent="0.3">
      <c r="A50" t="s">
        <v>33</v>
      </c>
      <c r="B50" t="s">
        <v>99</v>
      </c>
      <c r="C50" s="15">
        <f>(C77*(1-C72)*C70)+(C78*D89)</f>
        <v>0.15138000000000001</v>
      </c>
      <c r="D50">
        <f>D$26</f>
        <v>-112</v>
      </c>
      <c r="E50">
        <f t="shared" ref="E50:H50" si="12">E$26</f>
        <v>6</v>
      </c>
      <c r="F50">
        <f t="shared" si="12"/>
        <v>151</v>
      </c>
      <c r="G50">
        <f t="shared" si="12"/>
        <v>314</v>
      </c>
      <c r="H50">
        <f t="shared" si="12"/>
        <v>495</v>
      </c>
      <c r="I50">
        <f>H50*(1+C80)</f>
        <v>519.75</v>
      </c>
    </row>
    <row r="51" spans="1:9" x14ac:dyDescent="0.3">
      <c r="C51" s="13">
        <f>C31/(1+$C$50)^C$12</f>
        <v>-1500</v>
      </c>
      <c r="D51" s="13">
        <f>D$26/(1+$C$50)^D$12</f>
        <v>-97.274574857996484</v>
      </c>
      <c r="E51" s="13">
        <f>E$26/(1+$C$50)^E$12</f>
        <v>4.5259931029036808</v>
      </c>
      <c r="F51" s="13">
        <f>F$26/(1+$C$50)^F$12</f>
        <v>98.928381382696671</v>
      </c>
      <c r="G51" s="13">
        <f>G$26/(1+$C$50)^G$12</f>
        <v>178.67135167235972</v>
      </c>
      <c r="H51" s="24">
        <f>H$26/(1+$C$50)^H$12</f>
        <v>244.63117003383823</v>
      </c>
    </row>
    <row r="52" spans="1:9" x14ac:dyDescent="0.3">
      <c r="B52" t="s">
        <v>34</v>
      </c>
      <c r="C52" s="13">
        <f>H52/(1+$C$50)^H12</f>
        <v>2533.6627395495179</v>
      </c>
      <c r="D52" s="13"/>
      <c r="E52" s="13"/>
      <c r="F52" s="13"/>
      <c r="G52" s="13"/>
      <c r="H52" s="24">
        <f>I50/(C50-C80)</f>
        <v>5126.7508384296698</v>
      </c>
      <c r="I52" s="14"/>
    </row>
    <row r="53" spans="1:9" x14ac:dyDescent="0.3">
      <c r="B53" t="s">
        <v>35</v>
      </c>
      <c r="C53" s="26">
        <f>SUM(C51:H51)+C52</f>
        <v>1463.1450608833197</v>
      </c>
      <c r="D53" s="13"/>
      <c r="E53" s="13"/>
      <c r="F53" s="13"/>
      <c r="G53" s="13"/>
      <c r="H53" s="14"/>
      <c r="I53" s="14"/>
    </row>
    <row r="54" spans="1:9" x14ac:dyDescent="0.3">
      <c r="C54" s="14"/>
      <c r="D54" s="13"/>
      <c r="E54" s="13"/>
      <c r="F54" s="13"/>
      <c r="G54" s="13"/>
      <c r="H54" s="14"/>
      <c r="I54" s="14"/>
    </row>
    <row r="55" spans="1:9" x14ac:dyDescent="0.3">
      <c r="A55" t="s">
        <v>36</v>
      </c>
      <c r="B55" t="s">
        <v>37</v>
      </c>
      <c r="C55" s="13">
        <f>C72*C70*C57</f>
        <v>10.200000000000001</v>
      </c>
      <c r="D55" s="13"/>
      <c r="E55" s="13"/>
      <c r="F55" s="13"/>
      <c r="G55" s="13"/>
      <c r="H55" s="14"/>
      <c r="I55" s="14"/>
    </row>
    <row r="56" spans="1:9" x14ac:dyDescent="0.3">
      <c r="B56" t="s">
        <v>38</v>
      </c>
      <c r="C56" s="24">
        <f>C55/C70</f>
        <v>150</v>
      </c>
      <c r="D56" s="13"/>
      <c r="E56" s="13"/>
      <c r="F56" s="13"/>
      <c r="G56" s="13"/>
      <c r="H56" s="14"/>
      <c r="I56" s="14"/>
    </row>
    <row r="57" spans="1:9" x14ac:dyDescent="0.3">
      <c r="B57" t="s">
        <v>39</v>
      </c>
      <c r="C57" s="13">
        <f>C61*C20</f>
        <v>375</v>
      </c>
      <c r="D57" s="13"/>
      <c r="E57" s="13"/>
      <c r="F57" s="13"/>
      <c r="G57" s="13"/>
      <c r="H57" s="14"/>
      <c r="I57" s="14"/>
    </row>
    <row r="58" spans="1:9" x14ac:dyDescent="0.3">
      <c r="B58" t="s">
        <v>20</v>
      </c>
      <c r="C58">
        <v>750</v>
      </c>
      <c r="D58" s="11">
        <f>C58-($C$25/5)</f>
        <v>600</v>
      </c>
      <c r="E58" s="11">
        <f>D58-($C$25/5)</f>
        <v>450</v>
      </c>
      <c r="F58" s="11">
        <f>E58-($C$25/5)</f>
        <v>300</v>
      </c>
      <c r="G58" s="11">
        <f t="shared" ref="G58" si="13">F58-($C$25/5)</f>
        <v>150</v>
      </c>
      <c r="H58" s="11">
        <f>G58-($C$25/5)</f>
        <v>0</v>
      </c>
      <c r="I58" s="14"/>
    </row>
    <row r="59" spans="1:9" x14ac:dyDescent="0.3">
      <c r="B59" t="s">
        <v>26</v>
      </c>
      <c r="D59">
        <f>C$25*$C$70</f>
        <v>51.000000000000007</v>
      </c>
      <c r="E59">
        <f>D$25*$C$70</f>
        <v>40.800000000000004</v>
      </c>
      <c r="F59">
        <f>E$25*$C$70</f>
        <v>30.6</v>
      </c>
      <c r="G59">
        <f>F$25*$C$70</f>
        <v>20.400000000000002</v>
      </c>
      <c r="H59">
        <f>G$25*$C$70</f>
        <v>10.200000000000001</v>
      </c>
    </row>
    <row r="60" spans="1:9" x14ac:dyDescent="0.3">
      <c r="B60" t="s">
        <v>27</v>
      </c>
      <c r="D60" s="13">
        <f>$C$72*D$59</f>
        <v>20.400000000000006</v>
      </c>
      <c r="E60" s="13">
        <f>$C$72*E$59</f>
        <v>16.320000000000004</v>
      </c>
      <c r="F60" s="13">
        <f>$C$72*F$59</f>
        <v>12.240000000000002</v>
      </c>
      <c r="G60" s="13">
        <f>$C$72*G$59</f>
        <v>8.1600000000000019</v>
      </c>
      <c r="H60" s="13">
        <f>$C$72*H$59</f>
        <v>4.080000000000001</v>
      </c>
    </row>
    <row r="61" spans="1:9" x14ac:dyDescent="0.3">
      <c r="B61" t="s">
        <v>40</v>
      </c>
      <c r="C61" s="7">
        <v>0.25</v>
      </c>
      <c r="D61" s="13"/>
      <c r="E61" s="13"/>
      <c r="F61" s="13"/>
      <c r="G61" s="13"/>
      <c r="H61" s="13"/>
    </row>
    <row r="62" spans="1:9" x14ac:dyDescent="0.3">
      <c r="B62" t="s">
        <v>41</v>
      </c>
      <c r="C62" s="7">
        <f>1-C61</f>
        <v>0.75</v>
      </c>
      <c r="D62" s="13"/>
      <c r="E62" s="13"/>
      <c r="F62" s="13"/>
      <c r="G62" s="13"/>
      <c r="H62" s="13"/>
    </row>
    <row r="63" spans="1:9" x14ac:dyDescent="0.3">
      <c r="B63" t="s">
        <v>35</v>
      </c>
      <c r="C63" s="13">
        <f>C42</f>
        <v>1228.4850852259274</v>
      </c>
      <c r="D63" s="13"/>
      <c r="E63" s="13"/>
      <c r="F63" s="13"/>
      <c r="G63" s="13"/>
      <c r="H63" s="13"/>
    </row>
    <row r="64" spans="1:9" x14ac:dyDescent="0.3">
      <c r="A64" t="s">
        <v>42</v>
      </c>
      <c r="B64" t="s">
        <v>30</v>
      </c>
      <c r="C64" s="13">
        <f>C63+C56</f>
        <v>1378.4850852259274</v>
      </c>
    </row>
    <row r="66" spans="2:4" x14ac:dyDescent="0.3">
      <c r="C66" s="7"/>
    </row>
    <row r="67" spans="2:4" x14ac:dyDescent="0.3">
      <c r="B67" s="5" t="s">
        <v>43</v>
      </c>
      <c r="C67" s="5" t="s">
        <v>44</v>
      </c>
    </row>
    <row r="69" spans="2:4" x14ac:dyDescent="0.3">
      <c r="B69" s="2" t="s">
        <v>45</v>
      </c>
      <c r="C69" s="9">
        <v>0.05</v>
      </c>
    </row>
    <row r="70" spans="2:4" x14ac:dyDescent="0.3">
      <c r="B70" t="s">
        <v>46</v>
      </c>
      <c r="C70" s="8">
        <v>6.8000000000000005E-2</v>
      </c>
    </row>
    <row r="71" spans="2:4" x14ac:dyDescent="0.3">
      <c r="B71" t="s">
        <v>47</v>
      </c>
      <c r="C71" s="8">
        <v>7.1999999999999995E-2</v>
      </c>
    </row>
    <row r="72" spans="2:4" x14ac:dyDescent="0.3">
      <c r="B72" t="s">
        <v>48</v>
      </c>
      <c r="C72" s="7">
        <v>0.4</v>
      </c>
    </row>
    <row r="73" spans="2:4" x14ac:dyDescent="0.3">
      <c r="B73" t="s">
        <v>49</v>
      </c>
      <c r="C73">
        <v>0.25</v>
      </c>
    </row>
    <row r="74" spans="2:4" x14ac:dyDescent="0.3">
      <c r="B74" s="1" t="s">
        <v>50</v>
      </c>
      <c r="C74" s="1">
        <v>1.5</v>
      </c>
    </row>
    <row r="75" spans="2:4" x14ac:dyDescent="0.3">
      <c r="B75" t="s">
        <v>51</v>
      </c>
      <c r="C75" t="s">
        <v>52</v>
      </c>
      <c r="D75" s="27">
        <f>5%+1.5*(7.2%)</f>
        <v>0.15800000000000003</v>
      </c>
    </row>
    <row r="76" spans="2:4" x14ac:dyDescent="0.3">
      <c r="B76" t="s">
        <v>53</v>
      </c>
      <c r="C76" t="s">
        <v>54</v>
      </c>
    </row>
    <row r="77" spans="2:4" x14ac:dyDescent="0.3">
      <c r="B77" s="17" t="s">
        <v>57</v>
      </c>
      <c r="C77" s="17">
        <f>0.25</f>
        <v>0.25</v>
      </c>
    </row>
    <row r="78" spans="2:4" x14ac:dyDescent="0.3">
      <c r="B78" s="17" t="s">
        <v>59</v>
      </c>
      <c r="C78" s="17">
        <f>0.75</f>
        <v>0.75</v>
      </c>
    </row>
    <row r="79" spans="2:4" x14ac:dyDescent="0.3">
      <c r="B79" t="s">
        <v>61</v>
      </c>
      <c r="C79" s="8">
        <f>D75</f>
        <v>0.15800000000000003</v>
      </c>
    </row>
    <row r="80" spans="2:4" x14ac:dyDescent="0.3">
      <c r="B80" t="s">
        <v>63</v>
      </c>
      <c r="C80" s="7">
        <v>0.05</v>
      </c>
    </row>
    <row r="81" spans="2:4" x14ac:dyDescent="0.3">
      <c r="B81" t="s">
        <v>55</v>
      </c>
    </row>
    <row r="82" spans="2:4" x14ac:dyDescent="0.3">
      <c r="D82" t="s">
        <v>56</v>
      </c>
    </row>
    <row r="83" spans="2:4" x14ac:dyDescent="0.3">
      <c r="D83" t="s">
        <v>58</v>
      </c>
    </row>
    <row r="84" spans="2:4" x14ac:dyDescent="0.3">
      <c r="D84" t="s">
        <v>60</v>
      </c>
    </row>
    <row r="85" spans="2:4" x14ac:dyDescent="0.3">
      <c r="D85" t="s">
        <v>62</v>
      </c>
    </row>
    <row r="86" spans="2:4" x14ac:dyDescent="0.3">
      <c r="B86" t="s">
        <v>64</v>
      </c>
      <c r="D86" t="s">
        <v>65</v>
      </c>
    </row>
    <row r="87" spans="2:4" x14ac:dyDescent="0.3">
      <c r="D87" t="s">
        <v>66</v>
      </c>
    </row>
    <row r="89" spans="2:4" x14ac:dyDescent="0.3">
      <c r="B89" t="s">
        <v>67</v>
      </c>
      <c r="D89" s="15">
        <f>(5+(1.92*7.2))/100</f>
        <v>0.18823999999999999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A0ADE-769E-49A3-A177-50FDB630DB95}">
  <dimension ref="A1:E151"/>
  <sheetViews>
    <sheetView topLeftCell="A125" workbookViewId="0">
      <selection activeCell="H148" sqref="H148"/>
    </sheetView>
  </sheetViews>
  <sheetFormatPr defaultColWidth="11" defaultRowHeight="15.6" x14ac:dyDescent="0.3"/>
  <cols>
    <col min="1" max="1" width="21.19921875" customWidth="1"/>
    <col min="3" max="3" width="13.5" customWidth="1"/>
  </cols>
  <sheetData>
    <row r="1" spans="1:1" x14ac:dyDescent="0.3">
      <c r="A1" s="21">
        <v>1</v>
      </c>
    </row>
    <row r="17" spans="1:2" x14ac:dyDescent="0.3">
      <c r="A17" s="16" t="s">
        <v>68</v>
      </c>
      <c r="B17" s="16">
        <f>495*1.05</f>
        <v>519.75</v>
      </c>
    </row>
    <row r="20" spans="1:2" x14ac:dyDescent="0.3">
      <c r="A20" s="21">
        <v>2</v>
      </c>
    </row>
    <row r="21" spans="1:2" x14ac:dyDescent="0.3">
      <c r="A21" s="16"/>
    </row>
    <row r="35" spans="1:3" x14ac:dyDescent="0.3">
      <c r="A35" t="s">
        <v>69</v>
      </c>
      <c r="B35">
        <v>1228.7</v>
      </c>
      <c r="C35" t="s">
        <v>70</v>
      </c>
    </row>
    <row r="38" spans="1:3" x14ac:dyDescent="0.3">
      <c r="A38" s="21">
        <v>3</v>
      </c>
    </row>
    <row r="39" spans="1:3" x14ac:dyDescent="0.3">
      <c r="A39" t="s">
        <v>71</v>
      </c>
      <c r="B39">
        <f>750*0.068</f>
        <v>51.000000000000007</v>
      </c>
      <c r="C39" s="22">
        <v>51000</v>
      </c>
    </row>
    <row r="40" spans="1:3" x14ac:dyDescent="0.3">
      <c r="A40" t="s">
        <v>72</v>
      </c>
      <c r="B40">
        <f>B39*0.4</f>
        <v>20.400000000000006</v>
      </c>
      <c r="C40" s="22">
        <v>20400</v>
      </c>
    </row>
    <row r="41" spans="1:3" x14ac:dyDescent="0.3">
      <c r="A41" t="s">
        <v>73</v>
      </c>
      <c r="B41">
        <f>B40/0.068</f>
        <v>300.00000000000006</v>
      </c>
      <c r="C41" s="22">
        <v>300000</v>
      </c>
    </row>
    <row r="43" spans="1:3" x14ac:dyDescent="0.3">
      <c r="A43" t="s">
        <v>30</v>
      </c>
      <c r="B43">
        <f>B35+B41</f>
        <v>1528.7</v>
      </c>
      <c r="C43" s="22">
        <v>1530000</v>
      </c>
    </row>
    <row r="46" spans="1:3" x14ac:dyDescent="0.3">
      <c r="A46" s="21">
        <v>4</v>
      </c>
    </row>
    <row r="47" spans="1:3" x14ac:dyDescent="0.3">
      <c r="A47" t="s">
        <v>74</v>
      </c>
      <c r="B47">
        <f>750/5</f>
        <v>150</v>
      </c>
    </row>
    <row r="49" spans="1:1" x14ac:dyDescent="0.3">
      <c r="A49" t="s">
        <v>75</v>
      </c>
    </row>
    <row r="60" spans="1:1" x14ac:dyDescent="0.3">
      <c r="A60" t="s">
        <v>76</v>
      </c>
    </row>
    <row r="71" spans="1:1" x14ac:dyDescent="0.3">
      <c r="A71" t="s">
        <v>77</v>
      </c>
    </row>
    <row r="83" spans="1:2" x14ac:dyDescent="0.3">
      <c r="A83" s="16" t="s">
        <v>30</v>
      </c>
      <c r="B83">
        <f>B35+52.6</f>
        <v>1281.3</v>
      </c>
    </row>
    <row r="86" spans="1:2" x14ac:dyDescent="0.3">
      <c r="A86" s="21">
        <v>5</v>
      </c>
    </row>
    <row r="87" spans="1:2" x14ac:dyDescent="0.3">
      <c r="A87" s="16" t="s">
        <v>78</v>
      </c>
      <c r="B87">
        <v>1.5</v>
      </c>
    </row>
    <row r="88" spans="1:2" x14ac:dyDescent="0.3">
      <c r="A88" s="16" t="s">
        <v>79</v>
      </c>
      <c r="B88">
        <v>0.25</v>
      </c>
    </row>
    <row r="89" spans="1:2" x14ac:dyDescent="0.3">
      <c r="A89" s="16" t="s">
        <v>80</v>
      </c>
      <c r="B89">
        <v>0.25</v>
      </c>
    </row>
    <row r="90" spans="1:2" x14ac:dyDescent="0.3">
      <c r="A90" s="16" t="s">
        <v>81</v>
      </c>
      <c r="B90">
        <v>0.75</v>
      </c>
    </row>
    <row r="91" spans="1:2" x14ac:dyDescent="0.3">
      <c r="A91" s="16" t="s">
        <v>82</v>
      </c>
      <c r="B91">
        <f>B89/B90</f>
        <v>0.33333333333333331</v>
      </c>
    </row>
    <row r="92" spans="1:2" x14ac:dyDescent="0.3">
      <c r="A92" s="16" t="s">
        <v>83</v>
      </c>
      <c r="B92" s="12">
        <v>0.4</v>
      </c>
    </row>
    <row r="93" spans="1:2" x14ac:dyDescent="0.3">
      <c r="A93" s="16" t="s">
        <v>84</v>
      </c>
      <c r="B93">
        <f>B87+(B87-B88)*B91*(1-B92)</f>
        <v>1.75</v>
      </c>
    </row>
    <row r="95" spans="1:2" x14ac:dyDescent="0.3">
      <c r="A95" s="16" t="s">
        <v>85</v>
      </c>
      <c r="B95">
        <f>0.05+B93*0.072</f>
        <v>0.17599999999999999</v>
      </c>
    </row>
    <row r="97" spans="1:2" x14ac:dyDescent="0.3">
      <c r="A97" s="16" t="s">
        <v>86</v>
      </c>
      <c r="B97">
        <f>B90*B95+B89*0.068*(1-B92)</f>
        <v>0.14219999999999999</v>
      </c>
    </row>
    <row r="99" spans="1:2" x14ac:dyDescent="0.3">
      <c r="A99" s="16" t="s">
        <v>87</v>
      </c>
      <c r="B99">
        <f>495*1.05</f>
        <v>519.75</v>
      </c>
    </row>
    <row r="100" spans="1:2" x14ac:dyDescent="0.3">
      <c r="A100" s="16" t="s">
        <v>88</v>
      </c>
      <c r="B100">
        <f>B99/(B97-0.05)</f>
        <v>5637.2017353579186</v>
      </c>
    </row>
    <row r="102" spans="1:2" x14ac:dyDescent="0.3">
      <c r="A102" t="s">
        <v>89</v>
      </c>
    </row>
    <row r="117" spans="1:3" x14ac:dyDescent="0.3">
      <c r="A117" t="s">
        <v>90</v>
      </c>
      <c r="B117" s="23">
        <v>1847.2</v>
      </c>
    </row>
    <row r="118" spans="1:3" x14ac:dyDescent="0.3">
      <c r="A118" t="s">
        <v>91</v>
      </c>
      <c r="B118">
        <f>B117*0.25</f>
        <v>461.8</v>
      </c>
      <c r="C118" s="22">
        <v>461800</v>
      </c>
    </row>
    <row r="119" spans="1:3" x14ac:dyDescent="0.3">
      <c r="A119" t="s">
        <v>92</v>
      </c>
      <c r="B119">
        <f>B117*0.75</f>
        <v>1385.4</v>
      </c>
      <c r="C119" s="22">
        <v>1385400</v>
      </c>
    </row>
    <row r="120" spans="1:3" ht="11.25" customHeight="1" x14ac:dyDescent="0.3"/>
    <row r="122" spans="1:3" x14ac:dyDescent="0.3">
      <c r="A122" s="21">
        <v>6</v>
      </c>
    </row>
    <row r="133" spans="1:5" x14ac:dyDescent="0.3">
      <c r="A133" t="s">
        <v>77</v>
      </c>
    </row>
    <row r="144" spans="1:5" x14ac:dyDescent="0.3">
      <c r="A144" t="s">
        <v>93</v>
      </c>
      <c r="B144">
        <f>12.4+12.2+12.2+12.4+12.9</f>
        <v>62.099999999999994</v>
      </c>
      <c r="D144" t="s">
        <v>94</v>
      </c>
      <c r="E144">
        <f>1/(1+0.068)^5</f>
        <v>0.71968713028015763</v>
      </c>
    </row>
    <row r="145" spans="1:3" x14ac:dyDescent="0.3">
      <c r="A145" t="s">
        <v>95</v>
      </c>
      <c r="B145">
        <f>17.9*1.05</f>
        <v>18.794999999999998</v>
      </c>
    </row>
    <row r="147" spans="1:3" x14ac:dyDescent="0.3">
      <c r="A147" t="s">
        <v>96</v>
      </c>
      <c r="B147">
        <f>B145/(0.068-0.05)</f>
        <v>1044.1666666666665</v>
      </c>
    </row>
    <row r="148" spans="1:3" x14ac:dyDescent="0.3">
      <c r="A148" t="s">
        <v>97</v>
      </c>
      <c r="B148">
        <f>B147*E144</f>
        <v>751.47331186753115</v>
      </c>
      <c r="C148" s="22">
        <v>751500</v>
      </c>
    </row>
    <row r="150" spans="1:3" x14ac:dyDescent="0.3">
      <c r="A150" t="s">
        <v>30</v>
      </c>
      <c r="B150">
        <f>B35+B144+B148</f>
        <v>2042.273311867531</v>
      </c>
      <c r="C150" s="22">
        <v>2042400</v>
      </c>
    </row>
    <row r="151" spans="1:3" x14ac:dyDescent="0.3">
      <c r="A151" t="s">
        <v>98</v>
      </c>
      <c r="B151">
        <f>0.25*B150</f>
        <v>510.56832796688275</v>
      </c>
      <c r="C151" s="22">
        <v>510600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ANSWERS</vt:lpstr>
      <vt:lpstr>Logan's Math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Kolath, Jay</dc:creator>
  <cp:keywords/>
  <dc:description/>
  <cp:lastModifiedBy>Punit Alagappan Kasi</cp:lastModifiedBy>
  <cp:revision/>
  <dcterms:created xsi:type="dcterms:W3CDTF">2025-10-15T17:06:14Z</dcterms:created>
  <dcterms:modified xsi:type="dcterms:W3CDTF">2026-04-02T21:00:49Z</dcterms:modified>
  <cp:category/>
  <cp:contentStatus/>
</cp:coreProperties>
</file>