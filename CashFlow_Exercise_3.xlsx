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it\Downloads\"/>
    </mc:Choice>
  </mc:AlternateContent>
  <xr:revisionPtr revIDLastSave="0" documentId="8_{9037400B-1101-4559-B85F-C41C16A5103B}" xr6:coauthVersionLast="47" xr6:coauthVersionMax="47" xr10:uidLastSave="{00000000-0000-0000-0000-000000000000}"/>
  <bookViews>
    <workbookView xWindow="-108" yWindow="-108" windowWidth="23256" windowHeight="12456" xr2:uid="{847D0BC8-B1AF-4C0F-98A7-7D2B60165DA3}"/>
  </bookViews>
  <sheets>
    <sheet name="Cash Flow #3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22" i="6" l="1"/>
  <c r="AA21" i="6"/>
  <c r="AA20" i="6"/>
  <c r="AA16" i="6"/>
  <c r="AA17" i="6"/>
  <c r="AA8" i="6"/>
  <c r="AA13" i="6"/>
  <c r="AA11" i="6"/>
  <c r="S30" i="6"/>
  <c r="S31" i="6"/>
  <c r="L16" i="6"/>
  <c r="R10" i="6"/>
  <c r="AA18" i="6"/>
  <c r="AA12" i="6"/>
  <c r="AA10" i="6"/>
  <c r="AA9" i="6"/>
  <c r="AA7" i="6"/>
  <c r="S24" i="6"/>
  <c r="S28" i="6"/>
  <c r="S29" i="6"/>
  <c r="S25" i="6"/>
  <c r="R17" i="6"/>
  <c r="R14" i="6"/>
  <c r="R9" i="6"/>
  <c r="R13" i="6"/>
  <c r="R19" i="6"/>
  <c r="R18" i="6"/>
  <c r="R20" i="6" s="1"/>
  <c r="R12" i="6"/>
  <c r="S26" i="6"/>
  <c r="R8" i="6"/>
  <c r="F29" i="6"/>
  <c r="F22" i="6"/>
  <c r="F25" i="6"/>
  <c r="E29" i="6"/>
  <c r="E22" i="6"/>
  <c r="E25" i="6"/>
  <c r="F11" i="6"/>
  <c r="F17" i="6"/>
  <c r="E11" i="6"/>
  <c r="E17" i="6" s="1"/>
  <c r="L9" i="6"/>
  <c r="L12" i="6"/>
  <c r="L14" i="6"/>
  <c r="F30" i="6"/>
  <c r="E30" i="6"/>
  <c r="AA23" i="6" l="1"/>
  <c r="AA14" i="6"/>
  <c r="AA25" i="6"/>
  <c r="R15" i="6"/>
  <c r="S21" i="6" s="1"/>
  <c r="S33" i="6" l="1"/>
</calcChain>
</file>

<file path=xl/sharedStrings.xml><?xml version="1.0" encoding="utf-8"?>
<sst xmlns="http://schemas.openxmlformats.org/spreadsheetml/2006/main" count="71" uniqueCount="56">
  <si>
    <t>Cash</t>
  </si>
  <si>
    <t>Inventory</t>
  </si>
  <si>
    <t>Total Assets</t>
  </si>
  <si>
    <t>Accounts Payable</t>
  </si>
  <si>
    <t>Total Liabilities</t>
  </si>
  <si>
    <t>Retained Earnings</t>
  </si>
  <si>
    <t>Cash Paid For Expenses</t>
  </si>
  <si>
    <t>Stock Issuance</t>
  </si>
  <si>
    <t>Net Income</t>
  </si>
  <si>
    <t>Dividends</t>
  </si>
  <si>
    <t>A/R</t>
  </si>
  <si>
    <t>Sales</t>
  </si>
  <si>
    <t>COGS</t>
  </si>
  <si>
    <t>Depreciation</t>
  </si>
  <si>
    <t>CFFO</t>
  </si>
  <si>
    <t>Purchase of PP&amp;E</t>
  </si>
  <si>
    <t>CFFIA</t>
  </si>
  <si>
    <t>CFFFA</t>
  </si>
  <si>
    <t>Net Change in Cash</t>
  </si>
  <si>
    <t>Gross Profit</t>
  </si>
  <si>
    <t>Oper. Expenses</t>
  </si>
  <si>
    <t>Cash Flow From Sales</t>
  </si>
  <si>
    <t>Cash Paid For COGS</t>
  </si>
  <si>
    <t>Simple Income Statement</t>
  </si>
  <si>
    <t>Simple Balance Sheet</t>
  </si>
  <si>
    <t>Revenue</t>
  </si>
  <si>
    <t>Δ in A/R</t>
  </si>
  <si>
    <t>Δ in Inv.</t>
  </si>
  <si>
    <t>Δ in A/P</t>
  </si>
  <si>
    <t>Oper. Exp.</t>
  </si>
  <si>
    <r>
      <rPr>
        <b/>
        <sz val="20"/>
        <color theme="0"/>
        <rFont val="Times New Roman"/>
        <family val="1"/>
      </rPr>
      <t>Direct</t>
    </r>
    <r>
      <rPr>
        <b/>
        <sz val="14"/>
        <color theme="0"/>
        <rFont val="Times New Roman"/>
        <family val="1"/>
      </rPr>
      <t xml:space="preserve"> Cash Flow Statement</t>
    </r>
  </si>
  <si>
    <r>
      <rPr>
        <b/>
        <sz val="20"/>
        <color theme="0"/>
        <rFont val="Times New Roman"/>
        <family val="1"/>
      </rPr>
      <t>Indirect</t>
    </r>
    <r>
      <rPr>
        <b/>
        <sz val="14"/>
        <color theme="0"/>
        <rFont val="Times New Roman"/>
        <family val="1"/>
      </rPr>
      <t xml:space="preserve"> Cash Flow Statement</t>
    </r>
  </si>
  <si>
    <t>Student's Edition</t>
  </si>
  <si>
    <t>L/T Notes Paydown</t>
  </si>
  <si>
    <t>Land</t>
  </si>
  <si>
    <t>Stock and APIC</t>
  </si>
  <si>
    <t>Tax</t>
  </si>
  <si>
    <t>EBIT</t>
  </si>
  <si>
    <t>Interest Expense</t>
  </si>
  <si>
    <t>EBT</t>
  </si>
  <si>
    <t>Supplies</t>
  </si>
  <si>
    <t>Total Current Assets</t>
  </si>
  <si>
    <t>Property &amp; Equip.</t>
  </si>
  <si>
    <t>Accum. Deprec.</t>
  </si>
  <si>
    <t>Goodwill</t>
  </si>
  <si>
    <t>Income Tax Payable</t>
  </si>
  <si>
    <t>Interest Payable</t>
  </si>
  <si>
    <t>Total Current Liab.</t>
  </si>
  <si>
    <t>L/T Debt</t>
  </si>
  <si>
    <t>Stockholder's Equity</t>
  </si>
  <si>
    <t>Total Liab. and Equity</t>
  </si>
  <si>
    <t>Interest Exp.</t>
  </si>
  <si>
    <t>Tax Expense</t>
  </si>
  <si>
    <t>Sale of Land</t>
  </si>
  <si>
    <t>Δ in Oth.Curr. Assts.</t>
  </si>
  <si>
    <t>Δ in Oth.Curr. Liab.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</si>
</sst>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4"/>
      <color theme="1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b/>
      <sz val="20"/>
      <color theme="1"/>
      <name val="Times New Roman"/>
      <family val="1"/>
    </font>
    <font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0" xfId="0" applyFont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5" fillId="0" borderId="0" xfId="0" applyFont="1"/>
    <xf numFmtId="0" fontId="5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37" fontId="2" fillId="0" borderId="0" xfId="0" applyNumberFormat="1" applyFont="1"/>
    <xf numFmtId="37" fontId="2" fillId="0" borderId="0" xfId="0" applyNumberFormat="1" applyFont="1" applyAlignment="1">
      <alignment horizontal="center" vertical="center"/>
    </xf>
    <xf numFmtId="37" fontId="2" fillId="0" borderId="0" xfId="1" applyNumberFormat="1" applyFont="1" applyBorder="1" applyAlignment="1">
      <alignment horizontal="center" vertical="center"/>
    </xf>
    <xf numFmtId="37" fontId="2" fillId="0" borderId="7" xfId="0" applyNumberFormat="1" applyFont="1" applyBorder="1"/>
    <xf numFmtId="37" fontId="2" fillId="0" borderId="6" xfId="0" applyNumberFormat="1" applyFont="1" applyBorder="1"/>
    <xf numFmtId="37" fontId="2" fillId="0" borderId="2" xfId="0" applyNumberFormat="1" applyFont="1" applyBorder="1" applyAlignment="1">
      <alignment horizontal="center" vertical="center"/>
    </xf>
    <xf numFmtId="37" fontId="2" fillId="0" borderId="1" xfId="0" applyNumberFormat="1" applyFont="1" applyBorder="1" applyAlignment="1">
      <alignment horizontal="center" vertical="center"/>
    </xf>
    <xf numFmtId="37" fontId="2" fillId="0" borderId="2" xfId="0" applyNumberFormat="1" applyFont="1" applyBorder="1"/>
    <xf numFmtId="37" fontId="6" fillId="0" borderId="2" xfId="0" applyNumberFormat="1" applyFont="1" applyBorder="1"/>
    <xf numFmtId="37" fontId="2" fillId="0" borderId="0" xfId="1" applyNumberFormat="1" applyFont="1" applyFill="1" applyBorder="1" applyAlignment="1">
      <alignment horizontal="center" vertical="center"/>
    </xf>
    <xf numFmtId="37" fontId="2" fillId="0" borderId="1" xfId="0" applyNumberFormat="1" applyFont="1" applyBorder="1"/>
    <xf numFmtId="37" fontId="2" fillId="0" borderId="12" xfId="0" applyNumberFormat="1" applyFont="1" applyBorder="1"/>
    <xf numFmtId="0" fontId="2" fillId="2" borderId="12" xfId="0" applyFont="1" applyFill="1" applyBorder="1"/>
    <xf numFmtId="0" fontId="2" fillId="2" borderId="11" xfId="0" applyFont="1" applyFill="1" applyBorder="1"/>
    <xf numFmtId="37" fontId="2" fillId="2" borderId="15" xfId="0" applyNumberFormat="1" applyFont="1" applyFill="1" applyBorder="1"/>
    <xf numFmtId="37" fontId="2" fillId="2" borderId="0" xfId="0" applyNumberFormat="1" applyFont="1" applyFill="1"/>
    <xf numFmtId="37" fontId="2" fillId="2" borderId="16" xfId="0" applyNumberFormat="1" applyFont="1" applyFill="1" applyBorder="1"/>
    <xf numFmtId="37" fontId="2" fillId="2" borderId="2" xfId="0" applyNumberFormat="1" applyFont="1" applyFill="1" applyBorder="1" applyAlignment="1">
      <alignment horizontal="center" vertical="center"/>
    </xf>
    <xf numFmtId="37" fontId="6" fillId="2" borderId="2" xfId="0" applyNumberFormat="1" applyFont="1" applyFill="1" applyBorder="1"/>
    <xf numFmtId="37" fontId="2" fillId="0" borderId="11" xfId="0" applyNumberFormat="1" applyFont="1" applyBorder="1"/>
    <xf numFmtId="37" fontId="2" fillId="0" borderId="14" xfId="0" applyNumberFormat="1" applyFont="1" applyBorder="1"/>
    <xf numFmtId="37" fontId="2" fillId="2" borderId="12" xfId="0" applyNumberFormat="1" applyFont="1" applyFill="1" applyBorder="1"/>
    <xf numFmtId="37" fontId="2" fillId="2" borderId="13" xfId="0" applyNumberFormat="1" applyFont="1" applyFill="1" applyBorder="1"/>
    <xf numFmtId="37" fontId="2" fillId="2" borderId="2" xfId="0" applyNumberFormat="1" applyFont="1" applyFill="1" applyBorder="1"/>
    <xf numFmtId="37" fontId="7" fillId="0" borderId="0" xfId="0" applyNumberFormat="1" applyFont="1"/>
    <xf numFmtId="37" fontId="7" fillId="0" borderId="0" xfId="0" applyNumberFormat="1" applyFont="1" applyAlignment="1">
      <alignment horizontal="center" vertical="center"/>
    </xf>
    <xf numFmtId="37" fontId="2" fillId="0" borderId="11" xfId="0" applyNumberFormat="1" applyFont="1" applyBorder="1" applyAlignment="1">
      <alignment horizontal="left"/>
    </xf>
    <xf numFmtId="37" fontId="2" fillId="0" borderId="13" xfId="0" applyNumberFormat="1" applyFont="1" applyBorder="1"/>
    <xf numFmtId="0" fontId="0" fillId="0" borderId="7" xfId="0" applyBorder="1"/>
    <xf numFmtId="0" fontId="0" fillId="0" borderId="6" xfId="0" applyBorder="1"/>
    <xf numFmtId="37" fontId="6" fillId="0" borderId="13" xfId="0" applyNumberFormat="1" applyFont="1" applyBorder="1"/>
    <xf numFmtId="0" fontId="3" fillId="2" borderId="12" xfId="0" applyFont="1" applyFill="1" applyBorder="1"/>
    <xf numFmtId="37" fontId="2" fillId="2" borderId="14" xfId="0" applyNumberFormat="1" applyFont="1" applyFill="1" applyBorder="1" applyAlignment="1">
      <alignment horizontal="center" vertical="center"/>
    </xf>
    <xf numFmtId="37" fontId="2" fillId="2" borderId="16" xfId="0" applyNumberFormat="1" applyFont="1" applyFill="1" applyBorder="1" applyAlignment="1">
      <alignment horizontal="center" vertical="center"/>
    </xf>
    <xf numFmtId="37" fontId="3" fillId="2" borderId="16" xfId="0" applyNumberFormat="1" applyFont="1" applyFill="1" applyBorder="1" applyAlignment="1">
      <alignment horizontal="center" vertical="center"/>
    </xf>
    <xf numFmtId="37" fontId="3" fillId="2" borderId="15" xfId="0" applyNumberFormat="1" applyFont="1" applyFill="1" applyBorder="1"/>
    <xf numFmtId="37" fontId="6" fillId="2" borderId="13" xfId="0" applyNumberFormat="1" applyFont="1" applyFill="1" applyBorder="1"/>
    <xf numFmtId="37" fontId="3" fillId="5" borderId="17" xfId="0" applyNumberFormat="1" applyFont="1" applyFill="1" applyBorder="1" applyAlignment="1">
      <alignment horizontal="center" vertical="center"/>
    </xf>
    <xf numFmtId="37" fontId="3" fillId="5" borderId="17" xfId="0" applyNumberFormat="1" applyFont="1" applyFill="1" applyBorder="1"/>
    <xf numFmtId="37" fontId="3" fillId="6" borderId="17" xfId="0" applyNumberFormat="1" applyFont="1" applyFill="1" applyBorder="1"/>
    <xf numFmtId="37" fontId="9" fillId="3" borderId="0" xfId="0" applyNumberFormat="1" applyFont="1" applyFill="1" applyAlignment="1">
      <alignment horizontal="center" vertical="center"/>
    </xf>
    <xf numFmtId="37" fontId="9" fillId="3" borderId="0" xfId="0" applyNumberFormat="1" applyFont="1" applyFill="1"/>
    <xf numFmtId="0" fontId="11" fillId="0" borderId="7" xfId="0" applyFont="1" applyBorder="1"/>
    <xf numFmtId="0" fontId="11" fillId="0" borderId="0" xfId="0" applyFont="1"/>
    <xf numFmtId="0" fontId="11" fillId="0" borderId="6" xfId="0" applyFont="1" applyBorder="1"/>
    <xf numFmtId="37" fontId="2" fillId="0" borderId="9" xfId="0" applyNumberFormat="1" applyFont="1" applyBorder="1"/>
    <xf numFmtId="37" fontId="3" fillId="6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0" fontId="2" fillId="0" borderId="9" xfId="0" applyFont="1" applyBorder="1" applyAlignment="1">
      <alignment horizontal="center" vertical="center"/>
    </xf>
    <xf numFmtId="0" fontId="2" fillId="2" borderId="2" xfId="0" applyFont="1" applyFill="1" applyBorder="1"/>
    <xf numFmtId="37" fontId="2" fillId="0" borderId="9" xfId="0" applyNumberFormat="1" applyFont="1" applyBorder="1" applyAlignment="1">
      <alignment horizontal="center" vertical="center"/>
    </xf>
    <xf numFmtId="37" fontId="2" fillId="0" borderId="2" xfId="1" applyNumberFormat="1" applyFont="1" applyBorder="1" applyAlignment="1">
      <alignment horizontal="center" vertical="center"/>
    </xf>
    <xf numFmtId="37" fontId="2" fillId="0" borderId="4" xfId="0" applyNumberFormat="1" applyFont="1" applyBorder="1" applyAlignment="1">
      <alignment horizontal="center" vertical="center"/>
    </xf>
    <xf numFmtId="37" fontId="4" fillId="0" borderId="0" xfId="0" applyNumberFormat="1" applyFont="1" applyAlignment="1">
      <alignment horizontal="center" vertical="center"/>
    </xf>
    <xf numFmtId="0" fontId="2" fillId="2" borderId="15" xfId="0" applyFont="1" applyFill="1" applyBorder="1"/>
    <xf numFmtId="0" fontId="2" fillId="2" borderId="13" xfId="0" applyFont="1" applyFill="1" applyBorder="1"/>
    <xf numFmtId="37" fontId="3" fillId="4" borderId="17" xfId="0" applyNumberFormat="1" applyFont="1" applyFill="1" applyBorder="1"/>
    <xf numFmtId="0" fontId="3" fillId="2" borderId="15" xfId="0" applyFont="1" applyFill="1" applyBorder="1"/>
    <xf numFmtId="37" fontId="3" fillId="4" borderId="17" xfId="0" applyNumberFormat="1" applyFont="1" applyFill="1" applyBorder="1" applyAlignment="1">
      <alignment horizontal="center" vertical="center"/>
    </xf>
    <xf numFmtId="0" fontId="2" fillId="0" borderId="11" xfId="0" applyFont="1" applyBorder="1"/>
    <xf numFmtId="0" fontId="14" fillId="0" borderId="2" xfId="0" applyFont="1" applyBorder="1"/>
    <xf numFmtId="0" fontId="2" fillId="2" borderId="1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/>
    <xf numFmtId="37" fontId="2" fillId="0" borderId="14" xfId="0" applyNumberFormat="1" applyFont="1" applyBorder="1" applyAlignment="1">
      <alignment horizontal="center" vertical="center"/>
    </xf>
    <xf numFmtId="37" fontId="2" fillId="0" borderId="15" xfId="0" applyNumberFormat="1" applyFont="1" applyBorder="1" applyAlignment="1">
      <alignment horizontal="left"/>
    </xf>
    <xf numFmtId="37" fontId="2" fillId="0" borderId="16" xfId="0" applyNumberFormat="1" applyFont="1" applyBorder="1" applyAlignment="1">
      <alignment horizontal="center" vertical="center"/>
    </xf>
    <xf numFmtId="0" fontId="2" fillId="0" borderId="15" xfId="0" applyFont="1" applyBorder="1"/>
    <xf numFmtId="37" fontId="15" fillId="2" borderId="11" xfId="0" applyNumberFormat="1" applyFont="1" applyFill="1" applyBorder="1" applyAlignment="1">
      <alignment horizontal="center" vertical="center"/>
    </xf>
    <xf numFmtId="37" fontId="15" fillId="2" borderId="0" xfId="0" applyNumberFormat="1" applyFont="1" applyFill="1" applyAlignment="1">
      <alignment horizontal="center" vertical="center"/>
    </xf>
    <xf numFmtId="37" fontId="15" fillId="0" borderId="11" xfId="0" applyNumberFormat="1" applyFont="1" applyBorder="1" applyAlignment="1">
      <alignment horizontal="center" vertical="center"/>
    </xf>
    <xf numFmtId="37" fontId="15" fillId="0" borderId="0" xfId="0" applyNumberFormat="1" applyFont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7" xfId="0" applyFont="1" applyFill="1" applyBorder="1" applyAlignment="1">
      <alignment horizontal="center"/>
    </xf>
    <xf numFmtId="37" fontId="2" fillId="2" borderId="14" xfId="0" applyNumberFormat="1" applyFont="1" applyFill="1" applyBorder="1"/>
    <xf numFmtId="37" fontId="2" fillId="0" borderId="16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00FF"/>
      <color rgb="FF0000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8054-817D-442A-B1D7-E178C74DE599}">
  <dimension ref="B2:AB72"/>
  <sheetViews>
    <sheetView tabSelected="1" topLeftCell="A3" zoomScale="78" zoomScaleNormal="78" workbookViewId="0">
      <selection activeCell="Z23" sqref="Z23"/>
    </sheetView>
  </sheetViews>
  <sheetFormatPr defaultColWidth="8.77734375" defaultRowHeight="13.8" x14ac:dyDescent="0.25"/>
  <cols>
    <col min="1" max="1" width="2.6640625" style="1" customWidth="1"/>
    <col min="2" max="2" width="2.44140625" style="1" customWidth="1"/>
    <col min="3" max="3" width="8.77734375" style="1"/>
    <col min="4" max="4" width="10" style="1" customWidth="1"/>
    <col min="5" max="6" width="10" style="18" bestFit="1" customWidth="1"/>
    <col min="7" max="7" width="2.33203125" style="1" customWidth="1"/>
    <col min="8" max="8" width="4.44140625" style="1" customWidth="1"/>
    <col min="9" max="9" width="2.44140625" style="1" customWidth="1"/>
    <col min="10" max="10" width="8.77734375" style="1"/>
    <col min="11" max="11" width="9.77734375" style="1" customWidth="1"/>
    <col min="12" max="12" width="8.88671875" style="67" bestFit="1" customWidth="1"/>
    <col min="13" max="13" width="2.21875" style="1" customWidth="1"/>
    <col min="14" max="15" width="2.5546875" style="1" customWidth="1"/>
    <col min="16" max="16" width="3" style="1" customWidth="1"/>
    <col min="17" max="17" width="11.77734375" style="1" customWidth="1"/>
    <col min="18" max="18" width="10" style="1" customWidth="1"/>
    <col min="19" max="19" width="9" style="67" bestFit="1" customWidth="1"/>
    <col min="20" max="20" width="2.33203125" style="1" customWidth="1"/>
    <col min="21" max="21" width="8.77734375" style="1"/>
    <col min="22" max="22" width="2.6640625" style="1" customWidth="1"/>
    <col min="23" max="23" width="2.44140625" style="1" customWidth="1"/>
    <col min="24" max="25" width="8.77734375" style="1"/>
    <col min="26" max="26" width="8.88671875" style="67" bestFit="1" customWidth="1"/>
    <col min="27" max="27" width="8.88671875" style="1" bestFit="1" customWidth="1"/>
    <col min="28" max="28" width="2.33203125" style="1" customWidth="1"/>
    <col min="29" max="29" width="2.77734375" style="1" customWidth="1"/>
    <col min="30" max="16384" width="8.77734375" style="1"/>
  </cols>
  <sheetData>
    <row r="2" spans="2:28" x14ac:dyDescent="0.25">
      <c r="B2" s="94" t="s">
        <v>32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</row>
    <row r="3" spans="2:28" ht="14.4" thickBot="1" x14ac:dyDescent="0.3"/>
    <row r="4" spans="2:28" x14ac:dyDescent="0.25">
      <c r="B4" s="2"/>
      <c r="C4" s="3"/>
      <c r="D4" s="3"/>
      <c r="E4" s="73"/>
      <c r="F4" s="73"/>
      <c r="G4" s="4"/>
      <c r="I4" s="2"/>
      <c r="J4" s="3"/>
      <c r="K4" s="3"/>
      <c r="L4" s="65"/>
      <c r="M4" s="4"/>
      <c r="O4" s="2"/>
      <c r="P4" s="3"/>
      <c r="Q4" s="3"/>
      <c r="R4" s="3"/>
      <c r="S4" s="65"/>
      <c r="T4" s="4"/>
      <c r="V4" s="2"/>
      <c r="W4" s="3"/>
      <c r="X4" s="3"/>
      <c r="Y4" s="3"/>
      <c r="Z4" s="65"/>
      <c r="AA4" s="3"/>
      <c r="AB4" s="4"/>
    </row>
    <row r="5" spans="2:28" ht="24.6" x14ac:dyDescent="0.4">
      <c r="B5" s="5"/>
      <c r="C5" s="95" t="s">
        <v>24</v>
      </c>
      <c r="D5" s="95"/>
      <c r="E5" s="95"/>
      <c r="F5" s="95"/>
      <c r="G5" s="59"/>
      <c r="H5" s="60"/>
      <c r="I5" s="61"/>
      <c r="J5" s="95" t="s">
        <v>23</v>
      </c>
      <c r="K5" s="95"/>
      <c r="L5" s="95"/>
      <c r="M5" s="6"/>
      <c r="O5" s="96" t="s">
        <v>30</v>
      </c>
      <c r="P5" s="97"/>
      <c r="Q5" s="97"/>
      <c r="R5" s="97"/>
      <c r="S5" s="97"/>
      <c r="T5" s="98"/>
      <c r="V5" s="96" t="s">
        <v>31</v>
      </c>
      <c r="W5" s="97"/>
      <c r="X5" s="97"/>
      <c r="Y5" s="97"/>
      <c r="Z5" s="97"/>
      <c r="AA5" s="97"/>
      <c r="AB5" s="98"/>
    </row>
    <row r="6" spans="2:28" x14ac:dyDescent="0.25">
      <c r="B6" s="5"/>
      <c r="E6" s="74">
        <v>2019</v>
      </c>
      <c r="F6" s="74">
        <v>2018</v>
      </c>
      <c r="G6" s="12"/>
      <c r="H6" s="13"/>
      <c r="I6" s="14"/>
      <c r="J6" s="13"/>
      <c r="K6" s="13"/>
      <c r="L6" s="66">
        <v>2019</v>
      </c>
      <c r="M6" s="15"/>
      <c r="N6" s="11"/>
      <c r="O6" s="5"/>
      <c r="P6" s="11"/>
      <c r="Q6" s="11"/>
      <c r="R6" s="11"/>
      <c r="S6" s="66">
        <v>2019</v>
      </c>
      <c r="T6" s="6"/>
      <c r="V6" s="5"/>
      <c r="W6" s="11"/>
      <c r="X6" s="11"/>
      <c r="Y6" s="11"/>
      <c r="Z6" s="66"/>
      <c r="AA6" s="11">
        <v>2019</v>
      </c>
      <c r="AB6" s="6"/>
    </row>
    <row r="7" spans="2:28" x14ac:dyDescent="0.25">
      <c r="B7" s="5"/>
      <c r="C7" s="1" t="s">
        <v>0</v>
      </c>
      <c r="E7" s="19">
        <v>1200</v>
      </c>
      <c r="F7" s="26">
        <v>200</v>
      </c>
      <c r="G7" s="20"/>
      <c r="H7" s="17"/>
      <c r="I7" s="21"/>
      <c r="J7" s="17" t="s">
        <v>11</v>
      </c>
      <c r="K7" s="17"/>
      <c r="L7" s="19">
        <v>18000</v>
      </c>
      <c r="M7" s="20"/>
      <c r="N7" s="17"/>
      <c r="O7" s="16"/>
      <c r="P7" s="48" t="s">
        <v>21</v>
      </c>
      <c r="Q7" s="30"/>
      <c r="R7" s="30"/>
      <c r="S7" s="49"/>
      <c r="T7" s="6"/>
      <c r="V7" s="16"/>
      <c r="W7" s="29" t="s">
        <v>8</v>
      </c>
      <c r="X7" s="30"/>
      <c r="Y7" s="30"/>
      <c r="Z7" s="90"/>
      <c r="AA7" s="99">
        <f>L16</f>
        <v>540</v>
      </c>
      <c r="AB7" s="6"/>
    </row>
    <row r="8" spans="2:28" x14ac:dyDescent="0.25">
      <c r="B8" s="5"/>
      <c r="C8" s="1" t="s">
        <v>10</v>
      </c>
      <c r="E8" s="19">
        <v>1600</v>
      </c>
      <c r="F8" s="26">
        <v>1800</v>
      </c>
      <c r="G8" s="20"/>
      <c r="H8" s="17"/>
      <c r="I8" s="21"/>
      <c r="J8" s="17" t="s">
        <v>12</v>
      </c>
      <c r="K8" s="17"/>
      <c r="L8" s="22">
        <v>12750</v>
      </c>
      <c r="M8" s="20"/>
      <c r="N8" s="17"/>
      <c r="O8" s="21"/>
      <c r="P8" s="31"/>
      <c r="Q8" s="32" t="s">
        <v>25</v>
      </c>
      <c r="R8" s="32">
        <f>L7</f>
        <v>18000</v>
      </c>
      <c r="S8" s="50"/>
      <c r="T8" s="6"/>
      <c r="V8" s="21"/>
      <c r="W8" s="31"/>
      <c r="X8" s="32" t="s">
        <v>13</v>
      </c>
      <c r="Y8" s="32"/>
      <c r="Z8" s="91"/>
      <c r="AA8" s="33">
        <f>L10</f>
        <v>250</v>
      </c>
      <c r="AB8" s="6"/>
    </row>
    <row r="9" spans="2:28" x14ac:dyDescent="0.25">
      <c r="B9" s="5"/>
      <c r="C9" s="1" t="s">
        <v>1</v>
      </c>
      <c r="E9" s="19">
        <v>1600</v>
      </c>
      <c r="F9" s="19">
        <v>1000</v>
      </c>
      <c r="G9" s="20"/>
      <c r="H9" s="17"/>
      <c r="I9" s="21"/>
      <c r="J9" s="17" t="s">
        <v>19</v>
      </c>
      <c r="K9" s="17"/>
      <c r="L9" s="18">
        <f>+L7-L8</f>
        <v>5250</v>
      </c>
      <c r="M9" s="20"/>
      <c r="N9" s="17"/>
      <c r="O9" s="21"/>
      <c r="P9" s="31"/>
      <c r="Q9" s="32" t="s">
        <v>26</v>
      </c>
      <c r="R9" s="40">
        <f>(F8-E8)</f>
        <v>200</v>
      </c>
      <c r="S9" s="82"/>
      <c r="T9" s="6"/>
      <c r="V9" s="21"/>
      <c r="W9" s="31"/>
      <c r="X9" s="32" t="s">
        <v>26</v>
      </c>
      <c r="Y9" s="32"/>
      <c r="Z9" s="91"/>
      <c r="AA9" s="33">
        <f>F8-E8</f>
        <v>200</v>
      </c>
      <c r="AB9" s="6"/>
    </row>
    <row r="10" spans="2:28" x14ac:dyDescent="0.25">
      <c r="B10" s="5"/>
      <c r="C10" s="1" t="s">
        <v>40</v>
      </c>
      <c r="E10" s="72">
        <v>400</v>
      </c>
      <c r="F10" s="72">
        <v>200</v>
      </c>
      <c r="G10" s="20"/>
      <c r="H10" s="17"/>
      <c r="I10" s="21"/>
      <c r="J10" s="17" t="s">
        <v>13</v>
      </c>
      <c r="K10" s="17"/>
      <c r="L10" s="18">
        <v>250</v>
      </c>
      <c r="M10" s="20"/>
      <c r="N10" s="17"/>
      <c r="O10" s="21"/>
      <c r="P10" s="75"/>
      <c r="Q10" s="68"/>
      <c r="R10" s="32">
        <f>R8+R9</f>
        <v>18200</v>
      </c>
      <c r="S10" s="51"/>
      <c r="T10" s="6"/>
      <c r="V10" s="21"/>
      <c r="W10" s="31"/>
      <c r="X10" s="32" t="s">
        <v>27</v>
      </c>
      <c r="Y10" s="32"/>
      <c r="Z10" s="91"/>
      <c r="AA10" s="33">
        <f>F9-E9</f>
        <v>-600</v>
      </c>
      <c r="AB10" s="6"/>
    </row>
    <row r="11" spans="2:28" x14ac:dyDescent="0.25">
      <c r="B11" s="5"/>
      <c r="C11" s="7" t="s">
        <v>41</v>
      </c>
      <c r="E11" s="18">
        <f>SUM(E7:E10)</f>
        <v>4800</v>
      </c>
      <c r="F11" s="18">
        <f>SUM(F7:F10)</f>
        <v>3200</v>
      </c>
      <c r="G11" s="20"/>
      <c r="H11" s="17"/>
      <c r="I11" s="21"/>
      <c r="J11" s="17" t="s">
        <v>20</v>
      </c>
      <c r="K11" s="17"/>
      <c r="L11" s="22">
        <v>3600</v>
      </c>
      <c r="M11" s="20"/>
      <c r="N11" s="17"/>
      <c r="O11" s="21"/>
      <c r="P11" s="52" t="s">
        <v>22</v>
      </c>
      <c r="Q11" s="32"/>
      <c r="R11" s="32"/>
      <c r="S11" s="50"/>
      <c r="T11" s="6"/>
      <c r="V11" s="21"/>
      <c r="W11" s="31"/>
      <c r="X11" s="32" t="s">
        <v>54</v>
      </c>
      <c r="Y11" s="32"/>
      <c r="Z11" s="91"/>
      <c r="AA11" s="17">
        <f>E10-F10</f>
        <v>200</v>
      </c>
      <c r="AB11" s="6"/>
    </row>
    <row r="12" spans="2:28" ht="15.45" customHeight="1" x14ac:dyDescent="0.25">
      <c r="B12" s="5"/>
      <c r="G12" s="20"/>
      <c r="H12" s="17"/>
      <c r="I12" s="21"/>
      <c r="J12" s="17" t="s">
        <v>37</v>
      </c>
      <c r="L12" s="18">
        <f>+L9-L10-L11</f>
        <v>1400</v>
      </c>
      <c r="M12" s="20"/>
      <c r="N12" s="17"/>
      <c r="O12" s="21"/>
      <c r="P12" s="31"/>
      <c r="Q12" s="32" t="s">
        <v>12</v>
      </c>
      <c r="R12" s="32">
        <f>-L8</f>
        <v>-12750</v>
      </c>
      <c r="S12" s="82"/>
      <c r="T12" s="6"/>
      <c r="V12" s="21"/>
      <c r="W12" s="31"/>
      <c r="X12" s="32" t="s">
        <v>28</v>
      </c>
      <c r="Y12" s="32"/>
      <c r="Z12" s="91"/>
      <c r="AA12" s="33">
        <f>E19-F19</f>
        <v>600</v>
      </c>
      <c r="AB12" s="6"/>
    </row>
    <row r="13" spans="2:28" x14ac:dyDescent="0.25">
      <c r="B13" s="5"/>
      <c r="C13" s="1" t="s">
        <v>42</v>
      </c>
      <c r="E13" s="19">
        <v>1800</v>
      </c>
      <c r="F13" s="19">
        <v>1200</v>
      </c>
      <c r="G13" s="20"/>
      <c r="H13" s="17"/>
      <c r="I13" s="21"/>
      <c r="J13" s="17" t="s">
        <v>38</v>
      </c>
      <c r="K13" s="17"/>
      <c r="L13" s="22">
        <v>600</v>
      </c>
      <c r="M13" s="20"/>
      <c r="N13" s="17"/>
      <c r="O13" s="21"/>
      <c r="P13" s="75"/>
      <c r="Q13" s="32" t="s">
        <v>27</v>
      </c>
      <c r="R13" s="32">
        <f>F9-E9</f>
        <v>-600</v>
      </c>
      <c r="S13" s="82"/>
      <c r="T13" s="6"/>
      <c r="V13" s="21"/>
      <c r="W13" s="31"/>
      <c r="X13" s="32" t="s">
        <v>55</v>
      </c>
      <c r="Y13" s="32"/>
      <c r="Z13" s="91"/>
      <c r="AA13" s="33">
        <f>(-(F21-E21))+(E20-F20)</f>
        <v>-200</v>
      </c>
      <c r="AB13" s="6"/>
    </row>
    <row r="14" spans="2:28" ht="20.399999999999999" x14ac:dyDescent="0.35">
      <c r="B14" s="5"/>
      <c r="C14" s="1" t="s">
        <v>43</v>
      </c>
      <c r="E14" s="19">
        <v>-400</v>
      </c>
      <c r="F14" s="26">
        <v>-200</v>
      </c>
      <c r="G14" s="20"/>
      <c r="H14" s="17"/>
      <c r="I14" s="21"/>
      <c r="J14" s="17" t="s">
        <v>39</v>
      </c>
      <c r="K14" s="17"/>
      <c r="L14" s="18">
        <f>+L12-L13</f>
        <v>800</v>
      </c>
      <c r="M14" s="20"/>
      <c r="N14" s="17"/>
      <c r="O14" s="21"/>
      <c r="P14" s="75"/>
      <c r="Q14" s="32" t="s">
        <v>28</v>
      </c>
      <c r="R14" s="40">
        <f>E19-F19</f>
        <v>600</v>
      </c>
      <c r="S14" s="82"/>
      <c r="T14" s="6"/>
      <c r="V14" s="21"/>
      <c r="W14" s="76"/>
      <c r="X14" s="35" t="s">
        <v>14</v>
      </c>
      <c r="Y14" s="70"/>
      <c r="Z14" s="83"/>
      <c r="AA14" s="77">
        <f>SUM(AA7:AA13)</f>
        <v>990</v>
      </c>
      <c r="AB14" s="6"/>
    </row>
    <row r="15" spans="2:28" x14ac:dyDescent="0.25">
      <c r="B15" s="5"/>
      <c r="C15" s="1" t="s">
        <v>34</v>
      </c>
      <c r="E15" s="26">
        <v>300</v>
      </c>
      <c r="F15" s="26">
        <v>1400</v>
      </c>
      <c r="G15" s="20"/>
      <c r="H15" s="17"/>
      <c r="I15" s="21"/>
      <c r="J15" s="17" t="s">
        <v>36</v>
      </c>
      <c r="K15" s="17"/>
      <c r="L15" s="22">
        <v>260</v>
      </c>
      <c r="M15" s="20"/>
      <c r="N15" s="17"/>
      <c r="O15" s="21"/>
      <c r="P15" s="75"/>
      <c r="Q15" s="68"/>
      <c r="R15" s="32">
        <f>R12+R13+R14</f>
        <v>-12750</v>
      </c>
      <c r="S15" s="51"/>
      <c r="T15" s="6"/>
      <c r="V15" s="21"/>
      <c r="W15" s="17"/>
      <c r="AB15" s="6"/>
    </row>
    <row r="16" spans="2:28" x14ac:dyDescent="0.25">
      <c r="B16" s="5"/>
      <c r="C16" s="1" t="s">
        <v>44</v>
      </c>
      <c r="E16" s="19">
        <v>200</v>
      </c>
      <c r="F16" s="26">
        <v>250</v>
      </c>
      <c r="G16" s="20"/>
      <c r="H16" s="17"/>
      <c r="I16" s="21"/>
      <c r="J16" s="17" t="s">
        <v>8</v>
      </c>
      <c r="K16" s="17"/>
      <c r="L16" s="18">
        <f>(L14-L15)</f>
        <v>540</v>
      </c>
      <c r="M16" s="20"/>
      <c r="N16" s="17"/>
      <c r="O16" s="21"/>
      <c r="P16" s="78" t="s">
        <v>6</v>
      </c>
      <c r="Q16" s="68"/>
      <c r="R16" s="68"/>
      <c r="S16" s="82"/>
      <c r="T16" s="6"/>
      <c r="V16" s="21"/>
      <c r="W16" s="28"/>
      <c r="X16" s="43" t="s">
        <v>53</v>
      </c>
      <c r="Y16" s="36"/>
      <c r="Z16" s="92"/>
      <c r="AA16" s="37">
        <f>F15-E15</f>
        <v>1100</v>
      </c>
      <c r="AB16" s="6"/>
    </row>
    <row r="17" spans="2:28" ht="14.4" thickBot="1" x14ac:dyDescent="0.3">
      <c r="B17" s="5"/>
      <c r="C17" s="7" t="s">
        <v>2</v>
      </c>
      <c r="E17" s="27">
        <f>+E11+E13+E14+E15+E16</f>
        <v>6700</v>
      </c>
      <c r="F17" s="27">
        <f>+F11+F13+F14+F15+F16</f>
        <v>5850</v>
      </c>
      <c r="G17" s="20"/>
      <c r="H17" s="17"/>
      <c r="I17" s="21"/>
      <c r="J17" s="17"/>
      <c r="K17" s="17"/>
      <c r="L17" s="18"/>
      <c r="M17" s="20"/>
      <c r="N17" s="17"/>
      <c r="O17" s="21"/>
      <c r="P17" s="75"/>
      <c r="Q17" s="32" t="s">
        <v>29</v>
      </c>
      <c r="R17" s="32">
        <f>-L11</f>
        <v>-3600</v>
      </c>
      <c r="S17" s="82"/>
      <c r="T17" s="6"/>
      <c r="V17" s="21"/>
      <c r="W17" s="89"/>
      <c r="X17" s="43" t="s">
        <v>15</v>
      </c>
      <c r="Z17" s="93"/>
      <c r="AA17" s="100">
        <f>F13-E13</f>
        <v>-600</v>
      </c>
      <c r="AB17" s="6"/>
    </row>
    <row r="18" spans="2:28" ht="21" thickTop="1" x14ac:dyDescent="0.35">
      <c r="B18" s="5"/>
      <c r="F18" s="17"/>
      <c r="G18" s="20"/>
      <c r="H18" s="17"/>
      <c r="I18" s="21"/>
      <c r="J18" s="17"/>
      <c r="K18" s="17"/>
      <c r="L18" s="18"/>
      <c r="M18" s="20"/>
      <c r="N18" s="17"/>
      <c r="O18" s="21"/>
      <c r="P18" s="75"/>
      <c r="Q18" s="32" t="s">
        <v>51</v>
      </c>
      <c r="R18" s="32">
        <f>-L13</f>
        <v>-600</v>
      </c>
      <c r="S18" s="82"/>
      <c r="T18" s="6"/>
      <c r="V18" s="21"/>
      <c r="W18" s="44"/>
      <c r="X18" s="25" t="s">
        <v>16</v>
      </c>
      <c r="Y18" s="24"/>
      <c r="Z18" s="84"/>
      <c r="AA18" s="55">
        <f>SUM(AA16:AA17)</f>
        <v>500</v>
      </c>
      <c r="AB18" s="6"/>
    </row>
    <row r="19" spans="2:28" x14ac:dyDescent="0.25">
      <c r="B19" s="5"/>
      <c r="C19" s="1" t="s">
        <v>3</v>
      </c>
      <c r="E19" s="18">
        <v>1100</v>
      </c>
      <c r="F19" s="18">
        <v>500</v>
      </c>
      <c r="G19" s="20"/>
      <c r="H19" s="17"/>
      <c r="I19" s="21"/>
      <c r="J19" s="17"/>
      <c r="K19" s="17"/>
      <c r="L19" s="18"/>
      <c r="M19" s="20"/>
      <c r="N19" s="17"/>
      <c r="O19" s="5"/>
      <c r="P19" s="75"/>
      <c r="Q19" s="68" t="s">
        <v>52</v>
      </c>
      <c r="R19" s="32">
        <f>-L15</f>
        <v>-260</v>
      </c>
      <c r="S19" s="51"/>
      <c r="T19" s="6"/>
      <c r="V19" s="21"/>
      <c r="W19" s="17"/>
      <c r="AB19" s="6"/>
    </row>
    <row r="20" spans="2:28" x14ac:dyDescent="0.25">
      <c r="B20" s="5"/>
      <c r="C20" s="1" t="s">
        <v>45</v>
      </c>
      <c r="E20" s="19">
        <v>300</v>
      </c>
      <c r="F20" s="19">
        <v>100</v>
      </c>
      <c r="G20" s="20"/>
      <c r="H20" s="17"/>
      <c r="I20" s="21"/>
      <c r="J20" s="17"/>
      <c r="K20" s="17"/>
      <c r="L20" s="18"/>
      <c r="M20" s="20"/>
      <c r="N20" s="17"/>
      <c r="O20" s="21"/>
      <c r="P20" s="75"/>
      <c r="Q20" s="68"/>
      <c r="R20" s="32">
        <f>SUM(R17,R18,R19)</f>
        <v>-4460</v>
      </c>
      <c r="S20" s="51"/>
      <c r="T20" s="6"/>
      <c r="V20" s="21"/>
      <c r="W20" s="38"/>
      <c r="X20" s="30" t="s">
        <v>33</v>
      </c>
      <c r="Y20" s="30"/>
      <c r="Z20" s="90"/>
      <c r="AA20" s="17">
        <f>E24-F24</f>
        <v>-200</v>
      </c>
      <c r="AB20" s="6"/>
    </row>
    <row r="21" spans="2:28" ht="20.399999999999999" x14ac:dyDescent="0.35">
      <c r="B21" s="5"/>
      <c r="C21" s="1" t="s">
        <v>46</v>
      </c>
      <c r="E21" s="72">
        <v>400</v>
      </c>
      <c r="F21" s="72">
        <v>800</v>
      </c>
      <c r="G21" s="20"/>
      <c r="H21" s="17"/>
      <c r="I21" s="21"/>
      <c r="J21" s="17"/>
      <c r="K21" s="17"/>
      <c r="L21" s="18"/>
      <c r="M21" s="20"/>
      <c r="N21" s="17"/>
      <c r="O21" s="21"/>
      <c r="P21" s="76"/>
      <c r="Q21" s="35" t="s">
        <v>14</v>
      </c>
      <c r="R21" s="70"/>
      <c r="S21" s="79">
        <f>SUM(R10,R15,R20)</f>
        <v>990</v>
      </c>
      <c r="T21" s="6"/>
      <c r="V21" s="21"/>
      <c r="W21" s="31"/>
      <c r="X21" s="32" t="s">
        <v>7</v>
      </c>
      <c r="Y21" s="32"/>
      <c r="Z21" s="91"/>
      <c r="AA21" s="33">
        <f>E27-F27</f>
        <v>350</v>
      </c>
      <c r="AB21" s="6"/>
    </row>
    <row r="22" spans="2:28" ht="14.4" x14ac:dyDescent="0.3">
      <c r="B22" s="5"/>
      <c r="C22" s="1" t="s">
        <v>47</v>
      </c>
      <c r="E22" s="19">
        <f>SUM(E19:E21)</f>
        <v>1800</v>
      </c>
      <c r="F22" s="19">
        <f>SUM(F19:F21)</f>
        <v>1400</v>
      </c>
      <c r="G22" s="6"/>
      <c r="I22" s="5"/>
      <c r="J22" s="17"/>
      <c r="L22" s="18"/>
      <c r="M22" s="6"/>
      <c r="O22" s="21"/>
      <c r="P22"/>
      <c r="Q22"/>
      <c r="R22"/>
      <c r="S22" s="64"/>
      <c r="T22" s="6"/>
      <c r="V22" s="21"/>
      <c r="W22" s="31"/>
      <c r="X22" s="32" t="s">
        <v>9</v>
      </c>
      <c r="Y22" s="32"/>
      <c r="Z22" s="91"/>
      <c r="AA22" s="33">
        <f>(E28-F28)-L16</f>
        <v>-240</v>
      </c>
      <c r="AB22" s="6"/>
    </row>
    <row r="23" spans="2:28" ht="21" thickBot="1" x14ac:dyDescent="0.4">
      <c r="B23" s="5"/>
      <c r="E23" s="1"/>
      <c r="F23" s="1"/>
      <c r="G23" s="6"/>
      <c r="I23" s="8"/>
      <c r="J23" s="62"/>
      <c r="K23" s="9"/>
      <c r="L23" s="71"/>
      <c r="M23" s="10"/>
      <c r="O23" s="21"/>
      <c r="P23"/>
      <c r="Q23"/>
      <c r="R23"/>
      <c r="S23" s="64"/>
      <c r="T23" s="6"/>
      <c r="V23" s="5"/>
      <c r="W23" s="39"/>
      <c r="X23" s="35" t="s">
        <v>17</v>
      </c>
      <c r="Y23" s="40"/>
      <c r="Z23" s="34"/>
      <c r="AA23" s="56">
        <f>SUM(AA20:AA22)</f>
        <v>-90</v>
      </c>
      <c r="AB23" s="6"/>
    </row>
    <row r="24" spans="2:28" ht="14.4" x14ac:dyDescent="0.3">
      <c r="B24" s="5"/>
      <c r="C24" s="1" t="s">
        <v>48</v>
      </c>
      <c r="E24" s="22">
        <v>400</v>
      </c>
      <c r="F24" s="22">
        <v>600</v>
      </c>
      <c r="G24" s="6"/>
      <c r="O24" s="5"/>
      <c r="P24" s="85" t="s">
        <v>53</v>
      </c>
      <c r="Q24" s="80"/>
      <c r="R24" s="80"/>
      <c r="S24" s="86">
        <f>F15-E15</f>
        <v>1100</v>
      </c>
      <c r="T24" s="6"/>
      <c r="V24" s="46"/>
      <c r="W24"/>
      <c r="X24"/>
      <c r="Y24"/>
      <c r="Z24"/>
      <c r="AA24"/>
      <c r="AB24" s="45"/>
    </row>
    <row r="25" spans="2:28" ht="15.6" x14ac:dyDescent="0.3">
      <c r="B25" s="5"/>
      <c r="C25" s="1" t="s">
        <v>4</v>
      </c>
      <c r="E25" s="18">
        <f>+E22+E24</f>
        <v>2200</v>
      </c>
      <c r="F25" s="18">
        <f>+F22+F24</f>
        <v>2000</v>
      </c>
      <c r="G25" s="6"/>
      <c r="O25" s="5"/>
      <c r="P25" s="87" t="s">
        <v>15</v>
      </c>
      <c r="R25" s="17"/>
      <c r="S25" s="88">
        <f>F13-E13</f>
        <v>-600</v>
      </c>
      <c r="T25" s="6"/>
      <c r="V25" s="5"/>
      <c r="X25" s="41" t="s">
        <v>18</v>
      </c>
      <c r="Y25" s="41"/>
      <c r="Z25" s="42"/>
      <c r="AA25" s="58">
        <f>SUM(AA14,AA18,AA23)</f>
        <v>1400</v>
      </c>
      <c r="AB25" s="6"/>
    </row>
    <row r="26" spans="2:28" ht="25.2" thickBot="1" x14ac:dyDescent="0.45">
      <c r="B26" s="5"/>
      <c r="G26" s="6"/>
      <c r="O26" s="5"/>
      <c r="P26" s="47"/>
      <c r="Q26" s="81" t="s">
        <v>16</v>
      </c>
      <c r="R26" s="24"/>
      <c r="S26" s="54">
        <f>SUM(S24,S25)</f>
        <v>500</v>
      </c>
      <c r="T26" s="6"/>
      <c r="V26" s="8"/>
      <c r="W26" s="9"/>
      <c r="X26" s="9"/>
      <c r="Y26" s="9"/>
      <c r="Z26" s="69"/>
      <c r="AA26" s="9"/>
      <c r="AB26" s="10"/>
    </row>
    <row r="27" spans="2:28" x14ac:dyDescent="0.25">
      <c r="B27" s="5"/>
      <c r="C27" s="1" t="s">
        <v>35</v>
      </c>
      <c r="E27" s="18">
        <v>2600</v>
      </c>
      <c r="F27" s="18">
        <v>2250</v>
      </c>
      <c r="G27" s="6"/>
      <c r="O27" s="5"/>
      <c r="P27" s="17"/>
      <c r="T27" s="6"/>
    </row>
    <row r="28" spans="2:28" x14ac:dyDescent="0.25">
      <c r="B28" s="5"/>
      <c r="C28" s="1" t="s">
        <v>5</v>
      </c>
      <c r="E28" s="22">
        <v>1900</v>
      </c>
      <c r="F28" s="22">
        <v>1600</v>
      </c>
      <c r="G28" s="6"/>
      <c r="O28" s="5"/>
      <c r="P28" s="29" t="s">
        <v>33</v>
      </c>
      <c r="Q28" s="30"/>
      <c r="R28" s="30"/>
      <c r="S28" s="49">
        <f>E24-F24</f>
        <v>-200</v>
      </c>
      <c r="T28" s="6"/>
    </row>
    <row r="29" spans="2:28" x14ac:dyDescent="0.25">
      <c r="B29" s="5"/>
      <c r="C29" s="1" t="s">
        <v>49</v>
      </c>
      <c r="E29" s="18">
        <f>SUM(E27:E28)</f>
        <v>4500</v>
      </c>
      <c r="F29" s="18">
        <f>SUM(F27:F28)</f>
        <v>3850</v>
      </c>
      <c r="G29" s="6"/>
      <c r="O29" s="5"/>
      <c r="P29" s="31" t="s">
        <v>7</v>
      </c>
      <c r="Q29" s="68"/>
      <c r="R29" s="32"/>
      <c r="S29" s="50">
        <f>E27-F27</f>
        <v>350</v>
      </c>
      <c r="T29" s="6"/>
    </row>
    <row r="30" spans="2:28" ht="14.4" thickBot="1" x14ac:dyDescent="0.3">
      <c r="B30" s="5"/>
      <c r="C30" s="1" t="s">
        <v>50</v>
      </c>
      <c r="E30" s="23">
        <f>+E25+E29</f>
        <v>6700</v>
      </c>
      <c r="F30" s="23">
        <f>+F25+F29</f>
        <v>5850</v>
      </c>
      <c r="G30" s="6"/>
      <c r="O30" s="5"/>
      <c r="P30" s="31" t="s">
        <v>9</v>
      </c>
      <c r="Q30" s="68"/>
      <c r="R30" s="32"/>
      <c r="S30" s="50">
        <f>(E28-F28)-L16</f>
        <v>-240</v>
      </c>
      <c r="T30" s="6"/>
    </row>
    <row r="31" spans="2:28" ht="21.6" thickTop="1" thickBot="1" x14ac:dyDescent="0.4">
      <c r="B31" s="8"/>
      <c r="C31" s="9"/>
      <c r="D31" s="9"/>
      <c r="E31" s="71"/>
      <c r="F31" s="71"/>
      <c r="G31" s="10"/>
      <c r="O31" s="5"/>
      <c r="P31" s="53" t="s">
        <v>17</v>
      </c>
      <c r="Q31" s="70"/>
      <c r="R31" s="40"/>
      <c r="S31" s="63">
        <f>SUM(S29,S28,S30)</f>
        <v>-90</v>
      </c>
      <c r="T31" s="6"/>
    </row>
    <row r="32" spans="2:28" x14ac:dyDescent="0.25">
      <c r="O32" s="5"/>
      <c r="P32" s="17"/>
      <c r="R32" s="17"/>
      <c r="S32" s="18"/>
      <c r="T32" s="6"/>
    </row>
    <row r="33" spans="12:28" s="1" customFormat="1" ht="15.6" x14ac:dyDescent="0.3">
      <c r="O33" s="5"/>
      <c r="Q33" s="41" t="s">
        <v>18</v>
      </c>
      <c r="R33" s="41"/>
      <c r="S33" s="57">
        <f>SUM(S21,S26,S31)</f>
        <v>1400</v>
      </c>
      <c r="T33" s="6"/>
      <c r="Z33" s="67"/>
    </row>
    <row r="34" spans="12:28" s="1" customFormat="1" ht="14.4" thickBot="1" x14ac:dyDescent="0.3">
      <c r="O34" s="8"/>
      <c r="P34" s="9"/>
      <c r="Q34" s="9"/>
      <c r="R34" s="9"/>
      <c r="S34" s="69"/>
      <c r="T34" s="10"/>
      <c r="Z34" s="67"/>
    </row>
    <row r="36" spans="12:28" s="1" customFormat="1" x14ac:dyDescent="0.25">
      <c r="S36" s="67"/>
      <c r="Z36" s="67"/>
    </row>
    <row r="39" spans="12:28" s="1" customFormat="1" ht="14.4" x14ac:dyDescent="0.3"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2:28" s="1" customFormat="1" ht="14.4" x14ac:dyDescent="0.3"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2:28" s="1" customFormat="1" ht="14.4" x14ac:dyDescent="0.3"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2:28" s="1" customFormat="1" ht="14.4" x14ac:dyDescent="0.3"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2:28" s="1" customFormat="1" ht="14.4" x14ac:dyDescent="0.3"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2:28" s="1" customFormat="1" ht="14.4" x14ac:dyDescent="0.3"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2:28" s="1" customFormat="1" ht="14.4" x14ac:dyDescent="0.3"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2:28" s="1" customFormat="1" ht="14.4" x14ac:dyDescent="0.3"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2:28" s="1" customFormat="1" ht="14.4" x14ac:dyDescent="0.3"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2:28" s="1" customFormat="1" ht="14.4" x14ac:dyDescent="0.3"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2:28" s="1" customFormat="1" ht="14.4" x14ac:dyDescent="0.3"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2:28" s="1" customFormat="1" ht="14.4" x14ac:dyDescent="0.3"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2:28" s="1" customFormat="1" ht="14.4" x14ac:dyDescent="0.3"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2:28" s="1" customFormat="1" ht="14.4" x14ac:dyDescent="0.3"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2:28" s="1" customFormat="1" ht="14.4" x14ac:dyDescent="0.3"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2:28" s="1" customFormat="1" ht="14.4" x14ac:dyDescent="0.3"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2:28" s="1" customFormat="1" ht="14.4" x14ac:dyDescent="0.3"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2:28" s="1" customFormat="1" ht="14.4" x14ac:dyDescent="0.3"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2:28" s="1" customFormat="1" ht="14.4" x14ac:dyDescent="0.3"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2:28" s="1" customFormat="1" ht="14.4" x14ac:dyDescent="0.3"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2:28" s="1" customFormat="1" ht="14.4" x14ac:dyDescent="0.3"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2:28" s="1" customFormat="1" ht="14.4" x14ac:dyDescent="0.3"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2:28" s="1" customFormat="1" ht="14.4" x14ac:dyDescent="0.3"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2:28" s="1" customFormat="1" ht="14.4" x14ac:dyDescent="0.3"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2:28" s="1" customFormat="1" ht="14.4" x14ac:dyDescent="0.3"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2:28" s="1" customFormat="1" ht="14.4" x14ac:dyDescent="0.3"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2:28" s="1" customFormat="1" ht="14.4" x14ac:dyDescent="0.3"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2:28" s="1" customFormat="1" ht="14.4" x14ac:dyDescent="0.3"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2:28" s="1" customFormat="1" ht="14.4" x14ac:dyDescent="0.3"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2:28" s="1" customFormat="1" ht="14.4" x14ac:dyDescent="0.3"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2:28" s="1" customFormat="1" ht="14.4" x14ac:dyDescent="0.3"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2:28" s="1" customFormat="1" ht="14.4" x14ac:dyDescent="0.3"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2:28" s="1" customFormat="1" ht="14.4" x14ac:dyDescent="0.3"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2:28" ht="14.4" x14ac:dyDescent="0.3"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</sheetData>
  <mergeCells count="5">
    <mergeCell ref="B2:AB2"/>
    <mergeCell ref="C5:F5"/>
    <mergeCell ref="J5:L5"/>
    <mergeCell ref="O5:T5"/>
    <mergeCell ref="V5:A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Kasi, Punit Alagappan</cp:lastModifiedBy>
  <cp:lastPrinted>2021-02-02T23:30:37Z</cp:lastPrinted>
  <dcterms:created xsi:type="dcterms:W3CDTF">2020-07-06T15:32:24Z</dcterms:created>
  <dcterms:modified xsi:type="dcterms:W3CDTF">2025-04-21T01:27:09Z</dcterms:modified>
</cp:coreProperties>
</file>