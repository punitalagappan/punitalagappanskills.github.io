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unit\OneDrive\Desktop\Finance website '\"/>
    </mc:Choice>
  </mc:AlternateContent>
  <xr:revisionPtr revIDLastSave="0" documentId="8_{F763A3E3-4FE9-4FE4-A8CD-BD1D6AB23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uVet Ratios" sheetId="2" r:id="rId1"/>
  </sheets>
  <definedNames>
    <definedName name="_xlnm.Print_Area" localSheetId="0">'BluVet Ratios'!$A$5:$F$43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2" i="2"/>
  <c r="B118" i="2"/>
  <c r="B38" i="2"/>
  <c r="B119" i="2"/>
  <c r="B117" i="2"/>
  <c r="B28" i="2"/>
  <c r="B43" i="2"/>
  <c r="B23" i="2"/>
  <c r="B31" i="2"/>
  <c r="B30" i="2"/>
  <c r="B29" i="2"/>
  <c r="B19" i="2"/>
  <c r="B18" i="2"/>
  <c r="D118" i="2"/>
  <c r="E118" i="2"/>
  <c r="C118" i="2"/>
  <c r="E117" i="2"/>
  <c r="D117" i="2"/>
  <c r="D22" i="2" s="1"/>
  <c r="C117" i="2"/>
  <c r="C22" i="2" s="1"/>
  <c r="B42" i="2"/>
  <c r="C41" i="2"/>
  <c r="B41" i="2"/>
  <c r="B84" i="2"/>
  <c r="B20" i="2" s="1"/>
  <c r="B7" i="2"/>
  <c r="C42" i="2"/>
  <c r="J14" i="2"/>
  <c r="I14" i="2"/>
  <c r="J15" i="2"/>
  <c r="J13" i="2"/>
  <c r="I13" i="2"/>
  <c r="I15" i="2"/>
  <c r="E23" i="2"/>
  <c r="B14" i="2"/>
  <c r="I19" i="2"/>
  <c r="I9" i="2"/>
  <c r="I18" i="2"/>
  <c r="B32" i="2"/>
  <c r="C55" i="2"/>
  <c r="C100" i="2"/>
  <c r="C99" i="2"/>
  <c r="C64" i="2"/>
  <c r="C71" i="2"/>
  <c r="C77" i="2"/>
  <c r="C101" i="2"/>
  <c r="C109" i="2"/>
  <c r="C108" i="2"/>
  <c r="C107" i="2"/>
  <c r="C104" i="2"/>
  <c r="C103" i="2"/>
  <c r="D33" i="2" l="1"/>
  <c r="B33" i="2"/>
  <c r="B21" i="2"/>
  <c r="C106" i="2"/>
  <c r="C110" i="2"/>
  <c r="C14" i="2"/>
  <c r="D14" i="2"/>
  <c r="C13" i="2"/>
  <c r="D13" i="2"/>
  <c r="B13" i="2"/>
  <c r="C12" i="2"/>
  <c r="D12" i="2"/>
  <c r="D38" i="2" s="1"/>
  <c r="B12" i="2"/>
  <c r="C8" i="2"/>
  <c r="C7" i="2"/>
  <c r="K101" i="2"/>
  <c r="K98" i="2"/>
  <c r="K99" i="2"/>
  <c r="K100" i="2"/>
  <c r="K97" i="2"/>
  <c r="J83" i="2"/>
  <c r="I83" i="2"/>
  <c r="H83" i="2"/>
  <c r="J75" i="2"/>
  <c r="I75" i="2"/>
  <c r="H75" i="2"/>
  <c r="B5" i="2"/>
  <c r="C5" i="2" s="1"/>
  <c r="D71" i="2"/>
  <c r="D77" i="2"/>
  <c r="D84" i="2"/>
  <c r="D64" i="2"/>
  <c r="D57" i="2"/>
  <c r="E103" i="2"/>
  <c r="B71" i="2"/>
  <c r="B77" i="2"/>
  <c r="B64" i="2"/>
  <c r="B57" i="2"/>
  <c r="B101" i="2"/>
  <c r="J106" i="2"/>
  <c r="K106" i="2" s="1"/>
  <c r="J107" i="2"/>
  <c r="K107" i="2" s="1"/>
  <c r="J108" i="2"/>
  <c r="K108" i="2" s="1"/>
  <c r="J109" i="2"/>
  <c r="K109" i="2" s="1"/>
  <c r="J110" i="2"/>
  <c r="J111" i="2"/>
  <c r="J112" i="2"/>
  <c r="J113" i="2"/>
  <c r="J114" i="2"/>
  <c r="J105" i="2"/>
  <c r="K105" i="2" s="1"/>
  <c r="L110" i="2"/>
  <c r="L111" i="2" s="1"/>
  <c r="L112" i="2" s="1"/>
  <c r="L113" i="2" s="1"/>
  <c r="L114" i="2" s="1"/>
  <c r="J104" i="2"/>
  <c r="E101" i="2"/>
  <c r="D101" i="2"/>
  <c r="D106" i="2" l="1"/>
  <c r="D7" i="2"/>
  <c r="E106" i="2"/>
  <c r="E7" i="2"/>
  <c r="K114" i="2"/>
  <c r="K113" i="2"/>
  <c r="K112" i="2"/>
  <c r="K111" i="2"/>
  <c r="K110" i="2"/>
  <c r="B106" i="2"/>
  <c r="I7" i="2"/>
  <c r="B37" i="2"/>
  <c r="B36" i="2"/>
  <c r="D65" i="2"/>
  <c r="D15" i="2" s="1"/>
  <c r="D37" i="2"/>
  <c r="D36" i="2"/>
  <c r="D21" i="2"/>
  <c r="D29" i="2"/>
  <c r="D30" i="2"/>
  <c r="D27" i="2"/>
  <c r="D20" i="2"/>
  <c r="D18" i="2"/>
  <c r="D85" i="2"/>
  <c r="D28" i="2"/>
  <c r="D19" i="2"/>
  <c r="C31" i="2"/>
  <c r="C33" i="2"/>
  <c r="C24" i="2"/>
  <c r="C32" i="2"/>
  <c r="C23" i="2"/>
  <c r="C38" i="2"/>
  <c r="B65" i="2"/>
  <c r="B15" i="2" s="1"/>
  <c r="B85" i="2"/>
  <c r="K115" i="2"/>
  <c r="F4" i="2"/>
  <c r="B51" i="2"/>
  <c r="G97" i="2" s="1"/>
  <c r="G98" i="2" s="1"/>
  <c r="G99" i="2" s="1"/>
  <c r="G100" i="2" s="1"/>
  <c r="G101" i="2" s="1"/>
  <c r="G105" i="2" s="1"/>
  <c r="G106" i="2" s="1"/>
  <c r="G107" i="2" s="1"/>
  <c r="G108" i="2" s="1"/>
  <c r="D5" i="2"/>
  <c r="B110" i="2" l="1"/>
  <c r="B8" i="2"/>
  <c r="E110" i="2"/>
  <c r="E32" i="2"/>
  <c r="E8" i="2"/>
  <c r="D110" i="2"/>
  <c r="D32" i="2"/>
  <c r="D23" i="2"/>
  <c r="D8" i="2"/>
  <c r="G109" i="2"/>
  <c r="G110" i="2" s="1"/>
  <c r="G111" i="2" s="1"/>
  <c r="G112" i="2" s="1"/>
  <c r="C51" i="2"/>
  <c r="B98" i="2"/>
  <c r="H51" i="2"/>
  <c r="D113" i="2"/>
  <c r="D119" i="2" s="1"/>
  <c r="D43" i="2" s="1"/>
  <c r="D114" i="2"/>
  <c r="B114" i="2"/>
  <c r="B113" i="2"/>
  <c r="E113" i="2"/>
  <c r="E119" i="2" s="1"/>
  <c r="E114" i="2"/>
  <c r="D98" i="2"/>
  <c r="E5" i="2"/>
  <c r="J53" i="2" l="1"/>
  <c r="J68" i="2" s="1"/>
  <c r="E9" i="2"/>
  <c r="C112" i="2"/>
  <c r="C82" i="2"/>
  <c r="C84" i="2" s="1"/>
  <c r="C53" i="2"/>
  <c r="C57" i="2" s="1"/>
  <c r="H53" i="2"/>
  <c r="H68" i="2" s="1"/>
  <c r="B9" i="2"/>
  <c r="I53" i="2"/>
  <c r="I68" i="2" s="1"/>
  <c r="D42" i="2"/>
  <c r="D41" i="2"/>
  <c r="D9" i="2"/>
  <c r="D31" i="2"/>
  <c r="D24" i="2"/>
  <c r="E33" i="2"/>
  <c r="E24" i="2"/>
  <c r="I8" i="2"/>
  <c r="B24" i="2"/>
  <c r="G113" i="2"/>
  <c r="G114" i="2" s="1"/>
  <c r="D51" i="2"/>
  <c r="I51" i="2" s="1"/>
  <c r="C97" i="2"/>
  <c r="J51" i="2"/>
  <c r="E98" i="2"/>
  <c r="H84" i="2"/>
  <c r="H86" i="2" s="1"/>
  <c r="I84" i="2"/>
  <c r="I86" i="2" s="1"/>
  <c r="J84" i="2"/>
  <c r="J86" i="2" s="1"/>
  <c r="C65" i="2" l="1"/>
  <c r="C15" i="2" s="1"/>
  <c r="C37" i="2"/>
  <c r="C36" i="2"/>
  <c r="C29" i="2"/>
  <c r="C30" i="2"/>
  <c r="C27" i="2"/>
  <c r="C21" i="2"/>
  <c r="C20" i="2"/>
  <c r="C18" i="2"/>
  <c r="C28" i="2"/>
  <c r="C19" i="2"/>
  <c r="C85" i="2"/>
  <c r="C113" i="2"/>
  <c r="C119" i="2" s="1"/>
  <c r="C43" i="2" s="1"/>
  <c r="C114" i="2"/>
  <c r="C9" i="2" l="1"/>
</calcChain>
</file>

<file path=xl/sharedStrings.xml><?xml version="1.0" encoding="utf-8"?>
<sst xmlns="http://schemas.openxmlformats.org/spreadsheetml/2006/main" count="153" uniqueCount="129">
  <si>
    <t>Appendix A:  Ratio Analysis Template/Summary</t>
  </si>
  <si>
    <t>FIFO</t>
  </si>
  <si>
    <t>Industry Average</t>
  </si>
  <si>
    <t xml:space="preserve">CAGR Analysis </t>
  </si>
  <si>
    <t>Profitability</t>
  </si>
  <si>
    <t>From 2021 - 2023</t>
  </si>
  <si>
    <t>Gross profit margin = gross profit/sales</t>
  </si>
  <si>
    <t>GPM</t>
  </si>
  <si>
    <t>Operating Profit Margin = operating profit/sales</t>
  </si>
  <si>
    <t>OPM</t>
  </si>
  <si>
    <t>Net Profit Margin = net profit/sales</t>
  </si>
  <si>
    <t>NPM</t>
  </si>
  <si>
    <t>Efficiency</t>
  </si>
  <si>
    <t>OPM with LIFO Liquidation Adjustment</t>
  </si>
  <si>
    <t>AR Days on Hand = (AR/Sales) *365</t>
  </si>
  <si>
    <t>Inventory Days on Hand = (Inventory/COGS)*365</t>
  </si>
  <si>
    <t>AP Days on Hand = (AP*365)/COGS</t>
  </si>
  <si>
    <t>Asset Turnover = sales/total assets</t>
  </si>
  <si>
    <t>Leverage (Without Leases added back)</t>
  </si>
  <si>
    <t>2021 NPM (Gain on Sale Not Included)</t>
  </si>
  <si>
    <t>Debt/Equity</t>
  </si>
  <si>
    <t>Not Avail.</t>
  </si>
  <si>
    <t xml:space="preserve">Liabilities/Equity </t>
  </si>
  <si>
    <t>2021-2023 CAGR</t>
  </si>
  <si>
    <t>LTD/Total Capital = LTD/(STD+LTD+SE)</t>
  </si>
  <si>
    <t>Debt/Total Capital = total debt/total debt+SE</t>
  </si>
  <si>
    <t>Debt/EBITDA</t>
  </si>
  <si>
    <t>&lt;should have subtracted out equity method income</t>
  </si>
  <si>
    <t>Times Interest Earned = operating profit/interest expense</t>
  </si>
  <si>
    <t>FCCR = (EBITDA + Rent)/(Rent + Interest Expense)</t>
  </si>
  <si>
    <t>Leverage (With Leases added back)</t>
  </si>
  <si>
    <t>LTD/Total Capital = (LTD/LTD+SE)</t>
  </si>
  <si>
    <t>FCCR = (EBITDA + Rent)/(Rent + Interest)</t>
  </si>
  <si>
    <t>Liquidity</t>
  </si>
  <si>
    <t>Current Ratio = current asset/current liabilities</t>
  </si>
  <si>
    <t>Quick Ratio = (current assets-inventory)/current liabilities</t>
  </si>
  <si>
    <t>CCC= DSO+DIO-DPO</t>
  </si>
  <si>
    <t>Return (without operating lease addbacks)</t>
  </si>
  <si>
    <t>ROE = NI/SE</t>
  </si>
  <si>
    <t>ROA = NI/Total Assets</t>
  </si>
  <si>
    <t>ROC = NOPAT/Capital</t>
  </si>
  <si>
    <t>BluVet, Inc.</t>
  </si>
  <si>
    <t>Balance Sheet</t>
  </si>
  <si>
    <t>Statement of Cash Flows</t>
  </si>
  <si>
    <t>For The Years Ended</t>
  </si>
  <si>
    <t>12 Months Ended</t>
  </si>
  <si>
    <t>(In 000's, except Per Share data)</t>
  </si>
  <si>
    <t>Current Assets</t>
  </si>
  <si>
    <t>Cash Flows from Operating Activities</t>
  </si>
  <si>
    <t>Cash and cash equivalents</t>
  </si>
  <si>
    <t>Net earnings</t>
  </si>
  <si>
    <t>Accounts receivable, net</t>
  </si>
  <si>
    <t>Depreciation and amortization</t>
  </si>
  <si>
    <t>Inventories</t>
  </si>
  <si>
    <t>Change in fair value of Goodwill</t>
  </si>
  <si>
    <t>Other current assets</t>
  </si>
  <si>
    <t>Gains on sale of assets</t>
  </si>
  <si>
    <t>Total Current Assets</t>
  </si>
  <si>
    <t>Deferred income taxes</t>
  </si>
  <si>
    <t>Non-Current Assets</t>
  </si>
  <si>
    <t>Equity earnings in affiliates</t>
  </si>
  <si>
    <t>PP&amp;E net of accumulated depreciation</t>
  </si>
  <si>
    <t>Other income adjustments</t>
  </si>
  <si>
    <t>Right of Use Asset</t>
  </si>
  <si>
    <t>Equity investment in affiliates</t>
  </si>
  <si>
    <t>Goodwill and other intangibles</t>
  </si>
  <si>
    <t>Other non-current assets</t>
  </si>
  <si>
    <t>Total Non-Current Assets</t>
  </si>
  <si>
    <t>Trade accounts payable</t>
  </si>
  <si>
    <t>Total Assets</t>
  </si>
  <si>
    <t>Accrued expenses and other liabilities</t>
  </si>
  <si>
    <t>Current Liabilities</t>
  </si>
  <si>
    <t>Income taxes payable</t>
  </si>
  <si>
    <t>Short-term borrowings</t>
  </si>
  <si>
    <t>Other non-current assets and liabilities</t>
  </si>
  <si>
    <t>Net cash provided by operating activities</t>
  </si>
  <si>
    <t>Cash Flows from Investing Activities</t>
  </si>
  <si>
    <t>Total Current Liabilities</t>
  </si>
  <si>
    <t>Additions to property and equipment</t>
  </si>
  <si>
    <t>Non-Current Liabilities</t>
  </si>
  <si>
    <t>Proceeds from sale of assets</t>
  </si>
  <si>
    <t>Long-term debt</t>
  </si>
  <si>
    <t>Business and intangible asset acquisitions</t>
  </si>
  <si>
    <t>Right of Use Lease Obligations</t>
  </si>
  <si>
    <t>Investment in affiliates and call contracts</t>
  </si>
  <si>
    <t>Deferred tax liabilities</t>
  </si>
  <si>
    <t>Net cash used for investing activities</t>
  </si>
  <si>
    <t xml:space="preserve"> </t>
  </si>
  <si>
    <t>Other non-current liabilities</t>
  </si>
  <si>
    <t>Total Non-Current Liabilities</t>
  </si>
  <si>
    <t>Cash Flows from Financing Activities</t>
  </si>
  <si>
    <t>Shareholders' Equity</t>
  </si>
  <si>
    <t>Proceeds from issuance of long-term debt</t>
  </si>
  <si>
    <t>Common stock</t>
  </si>
  <si>
    <t>Payments of long-term debt</t>
  </si>
  <si>
    <t>Paid-in capital</t>
  </si>
  <si>
    <t>Proceeds related to stock purchase plans</t>
  </si>
  <si>
    <t>Employee stock loan receivable</t>
  </si>
  <si>
    <t>Cash dividends paid</t>
  </si>
  <si>
    <t>Retained earnings</t>
  </si>
  <si>
    <t>Other miscellaneous</t>
  </si>
  <si>
    <t>Accum. other comprehensive (loss)/income</t>
  </si>
  <si>
    <t>Net cash provided by financing activities</t>
  </si>
  <si>
    <t>Total Shareholders' Equity</t>
  </si>
  <si>
    <t>Net increase in cash and cash equivalents</t>
  </si>
  <si>
    <t>Total Liabilities and Shareholders' Equity</t>
  </si>
  <si>
    <t>Cash and cash equivalents: beginning of year</t>
  </si>
  <si>
    <t>Cash and cash equivalents: end of year</t>
  </si>
  <si>
    <t>Operating Lease</t>
  </si>
  <si>
    <t>Income Statement</t>
  </si>
  <si>
    <t>Present Value</t>
  </si>
  <si>
    <t>Capital Lease</t>
  </si>
  <si>
    <t>Revenues</t>
  </si>
  <si>
    <t>Cost of Revenues</t>
  </si>
  <si>
    <t>Gross Profit</t>
  </si>
  <si>
    <t>Thereafter</t>
  </si>
  <si>
    <t>SG&amp;A Expenses</t>
  </si>
  <si>
    <t>Minimum lease payments</t>
  </si>
  <si>
    <t>Equity earnings in Affiliates</t>
  </si>
  <si>
    <t>Operating Income</t>
  </si>
  <si>
    <t>Gain on asset sale</t>
  </si>
  <si>
    <t>Interest expense, net</t>
  </si>
  <si>
    <t>Other Income</t>
  </si>
  <si>
    <t>Earnings Before Income Tax Provision</t>
  </si>
  <si>
    <t>Income tax provision</t>
  </si>
  <si>
    <t>Net Earnings</t>
  </si>
  <si>
    <t>EBITDA (Top Down)</t>
  </si>
  <si>
    <t>EBITDA (Bottom Up)</t>
  </si>
  <si>
    <t>NOPAT (EBI at Morningstar)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</si>
</sst>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.00_);_(* \(#,##0.00\);_(* &quot;-&quot;??_);_(@_)"/>
    <numFmt numFmtId="166" formatCode="#,##0.0"/>
    <numFmt numFmtId="167" formatCode="0.0"/>
    <numFmt numFmtId="168" formatCode="&quot;$&quot;#,##0"/>
    <numFmt numFmtId="169" formatCode="0.0%"/>
    <numFmt numFmtId="170" formatCode="_(* #,##0_);_(* \(#,##0\);_(* &quot;-&quot;??_);_(@_)"/>
  </numFmts>
  <fonts count="46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99"/>
      <name val="Garamond"/>
      <family val="1"/>
    </font>
    <font>
      <sz val="10"/>
      <color theme="1"/>
      <name val="Arial"/>
      <family val="2"/>
    </font>
    <font>
      <sz val="9"/>
      <color rgb="FF000000"/>
      <name val="Garamond"/>
      <family val="1"/>
    </font>
    <font>
      <b/>
      <u/>
      <sz val="11"/>
      <color rgb="FF000000"/>
      <name val="Garamond"/>
      <family val="1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sz val="10"/>
      <name val="Arial"/>
      <family val="2"/>
    </font>
    <font>
      <u/>
      <sz val="11"/>
      <color rgb="FF000000"/>
      <name val="Garamond"/>
      <family val="1"/>
    </font>
    <font>
      <b/>
      <sz val="11"/>
      <color rgb="FF000000"/>
      <name val="Arial"/>
      <family val="2"/>
    </font>
    <font>
      <b/>
      <u/>
      <sz val="10"/>
      <color rgb="FF000000"/>
      <name val="Garamond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000000"/>
      <name val="Calibri"/>
      <family val="2"/>
    </font>
    <font>
      <u/>
      <sz val="11"/>
      <color rgb="FF000000"/>
      <name val="Calibri"/>
      <family val="2"/>
    </font>
    <font>
      <sz val="9"/>
      <color rgb="FF000000"/>
      <name val="Calibri"/>
      <family val="2"/>
    </font>
    <font>
      <b/>
      <u val="double"/>
      <sz val="11"/>
      <color rgb="FF000000"/>
      <name val="Calibri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0"/>
      <color rgb="FF000000"/>
      <name val="Garamond"/>
      <family val="1"/>
    </font>
    <font>
      <sz val="48"/>
      <color rgb="FF000000"/>
      <name val="Arial"/>
      <family val="2"/>
    </font>
    <font>
      <b/>
      <sz val="22"/>
      <color rgb="FF000099"/>
      <name val="Garamond"/>
      <family val="1"/>
    </font>
    <font>
      <u/>
      <sz val="10"/>
      <color theme="1"/>
      <name val="Arial"/>
      <family val="2"/>
    </font>
    <font>
      <b/>
      <sz val="12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4"/>
      <name val="Garamond"/>
      <family val="1"/>
    </font>
    <font>
      <sz val="7"/>
      <color theme="1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sz val="13"/>
      <color rgb="FF000000"/>
      <name val="Courier New"/>
      <family val="3"/>
    </font>
    <font>
      <sz val="16"/>
      <color rgb="FF000000"/>
      <name val="Arial"/>
      <family val="2"/>
    </font>
    <font>
      <sz val="22"/>
      <color rgb="FF000000"/>
      <name val="Courier New"/>
      <family val="3"/>
    </font>
    <font>
      <b/>
      <sz val="14"/>
      <color rgb="FFFF0000"/>
      <name val="Garamond"/>
      <family val="1"/>
    </font>
    <font>
      <sz val="11"/>
      <name val="Garamond"/>
      <family val="1"/>
    </font>
    <font>
      <u/>
      <sz val="11"/>
      <name val="Garamond"/>
      <family val="1"/>
    </font>
    <font>
      <b/>
      <u/>
      <sz val="11"/>
      <name val="Garamond"/>
      <family val="1"/>
    </font>
    <font>
      <b/>
      <sz val="11"/>
      <name val="Garamond"/>
      <family val="1"/>
    </font>
    <font>
      <b/>
      <sz val="11"/>
      <name val="Arial"/>
      <family val="2"/>
    </font>
    <font>
      <sz val="7"/>
      <name val="Arial"/>
      <family val="2"/>
    </font>
    <font>
      <b/>
      <sz val="11"/>
      <color rgb="FFFF0000"/>
      <name val="Garamond"/>
      <family val="1"/>
    </font>
    <font>
      <b/>
      <u/>
      <sz val="11"/>
      <color rgb="FFFF0000"/>
      <name val="Garamond"/>
      <family val="1"/>
    </font>
    <font>
      <sz val="12"/>
      <color rgb="FF00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8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2" borderId="0" xfId="0" applyFont="1" applyFill="1" applyAlignment="1">
      <alignment vertical="top"/>
    </xf>
    <xf numFmtId="16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8" fontId="7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" fontId="4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vertical="top"/>
    </xf>
    <xf numFmtId="3" fontId="7" fillId="2" borderId="0" xfId="0" applyNumberFormat="1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3" fontId="0" fillId="0" borderId="0" xfId="0" applyNumberFormat="1"/>
    <xf numFmtId="2" fontId="1" fillId="0" borderId="0" xfId="0" applyNumberFormat="1" applyFont="1" applyAlignment="1">
      <alignment horizontal="center"/>
    </xf>
    <xf numFmtId="169" fontId="1" fillId="0" borderId="0" xfId="2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3" fontId="4" fillId="0" borderId="0" xfId="0" applyNumberFormat="1" applyFont="1"/>
    <xf numFmtId="14" fontId="12" fillId="0" borderId="0" xfId="0" applyNumberFormat="1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64" fontId="0" fillId="0" borderId="0" xfId="0" applyNumberFormat="1"/>
    <xf numFmtId="164" fontId="13" fillId="0" borderId="0" xfId="0" applyNumberFormat="1" applyFont="1" applyAlignment="1">
      <alignment horizontal="center" vertical="center" wrapText="1"/>
    </xf>
    <xf numFmtId="164" fontId="13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center" vertical="center" wrapText="1"/>
    </xf>
    <xf numFmtId="3" fontId="17" fillId="0" borderId="0" xfId="0" applyNumberFormat="1" applyFont="1" applyAlignment="1">
      <alignment horizontal="right" vertical="center" wrapText="1"/>
    </xf>
    <xf numFmtId="164" fontId="19" fillId="5" borderId="0" xfId="0" applyNumberFormat="1" applyFont="1" applyFill="1" applyAlignment="1">
      <alignment horizontal="center" vertical="center" wrapText="1"/>
    </xf>
    <xf numFmtId="164" fontId="19" fillId="5" borderId="0" xfId="0" applyNumberFormat="1" applyFont="1" applyFill="1" applyAlignment="1">
      <alignment horizontal="right" vertical="center" wrapText="1"/>
    </xf>
    <xf numFmtId="9" fontId="14" fillId="0" borderId="0" xfId="0" applyNumberFormat="1" applyFont="1" applyAlignment="1">
      <alignment horizontal="center" vertical="center" wrapText="1"/>
    </xf>
    <xf numFmtId="164" fontId="13" fillId="0" borderId="0" xfId="0" applyNumberFormat="1" applyFont="1" applyAlignment="1">
      <alignment vertical="top"/>
    </xf>
    <xf numFmtId="170" fontId="0" fillId="0" borderId="0" xfId="0" applyNumberFormat="1"/>
    <xf numFmtId="0" fontId="2" fillId="0" borderId="1" xfId="0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0" xfId="0" applyNumberFormat="1" applyFont="1"/>
    <xf numFmtId="0" fontId="2" fillId="0" borderId="4" xfId="0" applyFont="1" applyBorder="1"/>
    <xf numFmtId="170" fontId="2" fillId="0" borderId="5" xfId="1" applyNumberFormat="1" applyFont="1" applyBorder="1" applyAlignment="1"/>
    <xf numFmtId="164" fontId="13" fillId="4" borderId="0" xfId="0" applyNumberFormat="1" applyFont="1" applyFill="1" applyAlignment="1">
      <alignment vertical="top"/>
    </xf>
    <xf numFmtId="0" fontId="20" fillId="6" borderId="0" xfId="0" applyFont="1" applyFill="1"/>
    <xf numFmtId="0" fontId="16" fillId="0" borderId="0" xfId="0" applyFont="1" applyAlignment="1">
      <alignment horizontal="right" vertical="center" wrapText="1"/>
    </xf>
    <xf numFmtId="10" fontId="1" fillId="7" borderId="0" xfId="0" applyNumberFormat="1" applyFont="1" applyFill="1" applyAlignment="1">
      <alignment horizontal="center"/>
    </xf>
    <xf numFmtId="166" fontId="1" fillId="7" borderId="0" xfId="0" applyNumberFormat="1" applyFont="1" applyFill="1" applyAlignment="1">
      <alignment horizontal="center"/>
    </xf>
    <xf numFmtId="167" fontId="1" fillId="7" borderId="0" xfId="0" applyNumberFormat="1" applyFont="1" applyFill="1" applyAlignment="1">
      <alignment horizontal="center"/>
    </xf>
    <xf numFmtId="2" fontId="1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2" fillId="0" borderId="7" xfId="0" applyFont="1" applyBorder="1" applyAlignment="1">
      <alignment horizontal="center" wrapText="1"/>
    </xf>
    <xf numFmtId="0" fontId="21" fillId="3" borderId="0" xfId="0" applyFont="1" applyFill="1" applyAlignment="1">
      <alignment horizontal="center"/>
    </xf>
    <xf numFmtId="166" fontId="21" fillId="3" borderId="0" xfId="0" applyNumberFormat="1" applyFont="1" applyFill="1" applyAlignment="1">
      <alignment horizontal="center"/>
    </xf>
    <xf numFmtId="170" fontId="2" fillId="0" borderId="0" xfId="1" applyNumberFormat="1" applyFont="1" applyFill="1" applyAlignment="1">
      <alignment horizontal="center" vertical="center"/>
    </xf>
    <xf numFmtId="0" fontId="2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vertical="center" wrapText="1"/>
    </xf>
    <xf numFmtId="168" fontId="7" fillId="3" borderId="0" xfId="0" applyNumberFormat="1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14" fontId="22" fillId="0" borderId="5" xfId="0" applyNumberFormat="1" applyFont="1" applyBorder="1" applyAlignment="1">
      <alignment horizontal="center"/>
    </xf>
    <xf numFmtId="14" fontId="12" fillId="7" borderId="0" xfId="0" applyNumberFormat="1" applyFont="1" applyFill="1" applyAlignment="1">
      <alignment horizontal="center" wrapText="1"/>
    </xf>
    <xf numFmtId="14" fontId="25" fillId="0" borderId="0" xfId="0" applyNumberFormat="1" applyFont="1" applyAlignment="1">
      <alignment horizontal="center" vertical="center" wrapText="1"/>
    </xf>
    <xf numFmtId="3" fontId="8" fillId="0" borderId="0" xfId="1" applyNumberFormat="1" applyFont="1" applyAlignment="1">
      <alignment horizontal="center"/>
    </xf>
    <xf numFmtId="168" fontId="0" fillId="0" borderId="0" xfId="0" applyNumberFormat="1"/>
    <xf numFmtId="0" fontId="26" fillId="0" borderId="0" xfId="0" applyFont="1" applyAlignment="1">
      <alignment horizontal="center"/>
    </xf>
    <xf numFmtId="14" fontId="13" fillId="0" borderId="0" xfId="0" applyNumberFormat="1" applyFont="1" applyAlignment="1">
      <alignment horizontal="right" vertical="center" wrapText="1"/>
    </xf>
    <xf numFmtId="14" fontId="0" fillId="0" borderId="0" xfId="0" applyNumberFormat="1"/>
    <xf numFmtId="0" fontId="27" fillId="7" borderId="0" xfId="0" applyFont="1" applyFill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14" fontId="28" fillId="0" borderId="0" xfId="0" applyNumberFormat="1" applyFont="1" applyAlignment="1">
      <alignment horizontal="center"/>
    </xf>
    <xf numFmtId="39" fontId="8" fillId="0" borderId="0" xfId="0" applyNumberFormat="1" applyFont="1" applyAlignment="1">
      <alignment horizontal="center"/>
    </xf>
    <xf numFmtId="10" fontId="29" fillId="0" borderId="0" xfId="2" applyNumberFormat="1" applyFont="1" applyAlignment="1">
      <alignment horizontal="center" vertical="top"/>
    </xf>
    <xf numFmtId="167" fontId="9" fillId="0" borderId="0" xfId="0" applyNumberFormat="1" applyFont="1" applyAlignment="1">
      <alignment horizontal="center"/>
    </xf>
    <xf numFmtId="0" fontId="30" fillId="0" borderId="0" xfId="0" applyFont="1"/>
    <xf numFmtId="2" fontId="1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/>
    <xf numFmtId="167" fontId="9" fillId="7" borderId="0" xfId="0" applyNumberFormat="1" applyFont="1" applyFill="1" applyAlignment="1">
      <alignment horizontal="center"/>
    </xf>
    <xf numFmtId="2" fontId="1" fillId="7" borderId="0" xfId="0" applyNumberFormat="1" applyFont="1" applyFill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 applyAlignment="1">
      <alignment vertical="top"/>
    </xf>
    <xf numFmtId="168" fontId="36" fillId="7" borderId="0" xfId="0" applyNumberFormat="1" applyFont="1" applyFill="1" applyAlignment="1">
      <alignment horizontal="center"/>
    </xf>
    <xf numFmtId="3" fontId="36" fillId="7" borderId="0" xfId="0" applyNumberFormat="1" applyFont="1" applyFill="1" applyAlignment="1">
      <alignment horizontal="center"/>
    </xf>
    <xf numFmtId="0" fontId="37" fillId="7" borderId="0" xfId="0" applyFont="1" applyFill="1" applyAlignment="1">
      <alignment horizontal="center"/>
    </xf>
    <xf numFmtId="3" fontId="38" fillId="2" borderId="0" xfId="0" applyNumberFormat="1" applyFont="1" applyFill="1" applyAlignment="1">
      <alignment horizontal="center"/>
    </xf>
    <xf numFmtId="0" fontId="9" fillId="7" borderId="0" xfId="0" applyFont="1" applyFill="1"/>
    <xf numFmtId="3" fontId="36" fillId="7" borderId="0" xfId="1" applyNumberFormat="1" applyFont="1" applyFill="1" applyAlignment="1">
      <alignment horizontal="center"/>
    </xf>
    <xf numFmtId="3" fontId="37" fillId="7" borderId="0" xfId="0" applyNumberFormat="1" applyFont="1" applyFill="1" applyAlignment="1">
      <alignment horizontal="center"/>
    </xf>
    <xf numFmtId="0" fontId="36" fillId="7" borderId="0" xfId="0" applyFont="1" applyFill="1" applyAlignment="1">
      <alignment horizontal="center"/>
    </xf>
    <xf numFmtId="3" fontId="38" fillId="3" borderId="0" xfId="0" applyNumberFormat="1" applyFont="1" applyFill="1" applyAlignment="1">
      <alignment horizontal="center"/>
    </xf>
    <xf numFmtId="3" fontId="39" fillId="2" borderId="0" xfId="0" applyNumberFormat="1" applyFont="1" applyFill="1" applyAlignment="1">
      <alignment horizontal="center"/>
    </xf>
    <xf numFmtId="3" fontId="40" fillId="2" borderId="0" xfId="0" applyNumberFormat="1" applyFont="1" applyFill="1" applyAlignment="1">
      <alignment horizontal="center"/>
    </xf>
    <xf numFmtId="39" fontId="36" fillId="7" borderId="0" xfId="0" applyNumberFormat="1" applyFont="1" applyFill="1" applyAlignment="1">
      <alignment horizontal="center"/>
    </xf>
    <xf numFmtId="10" fontId="41" fillId="0" borderId="0" xfId="2" applyNumberFormat="1" applyFont="1" applyAlignment="1">
      <alignment horizontal="center" vertical="top"/>
    </xf>
    <xf numFmtId="168" fontId="42" fillId="2" borderId="0" xfId="0" applyNumberFormat="1" applyFont="1" applyFill="1" applyAlignment="1">
      <alignment horizontal="center"/>
    </xf>
    <xf numFmtId="3" fontId="43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3" fontId="6" fillId="3" borderId="0" xfId="0" applyNumberFormat="1" applyFont="1" applyFill="1" applyAlignment="1">
      <alignment horizontal="center"/>
    </xf>
    <xf numFmtId="3" fontId="9" fillId="0" borderId="0" xfId="0" applyNumberFormat="1" applyFont="1"/>
    <xf numFmtId="0" fontId="44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0" fontId="44" fillId="0" borderId="0" xfId="0" applyFont="1"/>
    <xf numFmtId="0" fontId="44" fillId="0" borderId="0" xfId="0" applyFont="1" applyAlignment="1">
      <alignment wrapText="1"/>
    </xf>
    <xf numFmtId="166" fontId="1" fillId="8" borderId="0" xfId="0" applyNumberFormat="1" applyFont="1" applyFill="1" applyAlignment="1">
      <alignment horizontal="center"/>
    </xf>
    <xf numFmtId="167" fontId="9" fillId="8" borderId="0" xfId="0" applyNumberFormat="1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69" fontId="1" fillId="8" borderId="0" xfId="2" applyNumberFormat="1" applyFont="1" applyFill="1" applyAlignment="1">
      <alignment horizontal="center"/>
    </xf>
    <xf numFmtId="10" fontId="1" fillId="8" borderId="0" xfId="0" applyNumberFormat="1" applyFont="1" applyFill="1" applyAlignment="1">
      <alignment horizontal="center"/>
    </xf>
    <xf numFmtId="169" fontId="1" fillId="8" borderId="0" xfId="0" applyNumberFormat="1" applyFont="1" applyFill="1" applyAlignment="1">
      <alignment horizontal="center"/>
    </xf>
    <xf numFmtId="2" fontId="1" fillId="8" borderId="0" xfId="0" applyNumberFormat="1" applyFont="1" applyFill="1" applyAlignment="1">
      <alignment horizontal="center"/>
    </xf>
    <xf numFmtId="169" fontId="0" fillId="0" borderId="0" xfId="2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9" fontId="0" fillId="7" borderId="0" xfId="2" applyNumberFormat="1" applyFont="1" applyFill="1" applyAlignment="1">
      <alignment horizontal="center"/>
    </xf>
    <xf numFmtId="169" fontId="0" fillId="7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10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 vertical="center"/>
    </xf>
    <xf numFmtId="10" fontId="0" fillId="8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169" fontId="0" fillId="8" borderId="0" xfId="2" applyNumberFormat="1" applyFont="1" applyFill="1" applyAlignment="1">
      <alignment horizontal="center"/>
    </xf>
    <xf numFmtId="10" fontId="0" fillId="0" borderId="0" xfId="0" applyNumberFormat="1"/>
    <xf numFmtId="0" fontId="45" fillId="0" borderId="0" xfId="0" applyFont="1"/>
    <xf numFmtId="10" fontId="0" fillId="0" borderId="0" xfId="0" applyNumberFormat="1" applyAlignment="1">
      <alignment vertical="center"/>
    </xf>
    <xf numFmtId="9" fontId="0" fillId="0" borderId="0" xfId="2" applyFont="1"/>
    <xf numFmtId="167" fontId="44" fillId="0" borderId="0" xfId="0" applyNumberFormat="1" applyFont="1" applyAlignment="1">
      <alignment vertical="center" wrapText="1"/>
    </xf>
    <xf numFmtId="10" fontId="0" fillId="0" borderId="0" xfId="2" applyNumberFormat="1" applyFont="1"/>
    <xf numFmtId="10" fontId="0" fillId="0" borderId="0" xfId="0" applyNumberFormat="1" applyAlignment="1">
      <alignment horizontal="center" vertical="center" wrapText="1"/>
    </xf>
    <xf numFmtId="10" fontId="44" fillId="0" borderId="0" xfId="2" applyNumberFormat="1" applyFont="1"/>
    <xf numFmtId="2" fontId="1" fillId="9" borderId="0" xfId="0" applyNumberFormat="1" applyFont="1" applyFill="1" applyAlignment="1">
      <alignment horizontal="center"/>
    </xf>
    <xf numFmtId="0" fontId="8" fillId="4" borderId="0" xfId="0" applyFont="1" applyFill="1" applyAlignment="1">
      <alignment vertical="top"/>
    </xf>
    <xf numFmtId="0" fontId="4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2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8" fillId="5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66CC"/>
      <color rgb="FF0000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134"/>
  <sheetViews>
    <sheetView tabSelected="1" topLeftCell="A12" zoomScale="97" zoomScaleNormal="97" workbookViewId="0">
      <selection activeCell="C51" sqref="C51"/>
    </sheetView>
  </sheetViews>
  <sheetFormatPr defaultColWidth="14.44140625" defaultRowHeight="15.75" customHeight="1" x14ac:dyDescent="0.25"/>
  <cols>
    <col min="1" max="1" width="49.6640625" customWidth="1"/>
    <col min="2" max="2" width="13.5546875" customWidth="1"/>
    <col min="3" max="3" width="11" customWidth="1"/>
    <col min="4" max="4" width="12" bestFit="1" customWidth="1"/>
    <col min="5" max="5" width="12.88671875" bestFit="1" customWidth="1"/>
    <col min="6" max="6" width="15.44140625" customWidth="1"/>
    <col min="7" max="7" width="42.44140625" customWidth="1"/>
    <col min="8" max="8" width="16.88671875" customWidth="1"/>
    <col min="9" max="9" width="19.44140625" customWidth="1"/>
    <col min="12" max="12" width="48" customWidth="1"/>
    <col min="13" max="15" width="9.109375" bestFit="1" customWidth="1"/>
    <col min="16" max="16" width="9.33203125" customWidth="1"/>
  </cols>
  <sheetData>
    <row r="1" spans="1:11" ht="15.75" customHeight="1" x14ac:dyDescent="0.35">
      <c r="B1" s="88">
        <v>45291</v>
      </c>
    </row>
    <row r="2" spans="1:11" ht="28.8" x14ac:dyDescent="0.55000000000000004">
      <c r="A2" s="159" t="s">
        <v>0</v>
      </c>
      <c r="B2" s="159"/>
      <c r="C2" s="159"/>
      <c r="D2" s="159"/>
      <c r="E2" s="159"/>
      <c r="F2" s="159"/>
    </row>
    <row r="3" spans="1:11" ht="15.75" customHeight="1" thickBot="1" x14ac:dyDescent="0.4">
      <c r="A3" s="160"/>
      <c r="B3" s="160"/>
      <c r="C3" s="160"/>
      <c r="D3" s="160"/>
      <c r="E3" s="160"/>
    </row>
    <row r="4" spans="1:11" ht="15.75" customHeight="1" x14ac:dyDescent="0.25">
      <c r="C4" s="85" t="s">
        <v>1</v>
      </c>
      <c r="F4" s="86">
        <f>+B5</f>
        <v>45291</v>
      </c>
      <c r="K4" s="146"/>
    </row>
    <row r="5" spans="1:11" ht="13.2" x14ac:dyDescent="0.25">
      <c r="A5" s="1"/>
      <c r="B5" s="29">
        <f>+B1</f>
        <v>45291</v>
      </c>
      <c r="C5" s="78">
        <f>+B5</f>
        <v>45291</v>
      </c>
      <c r="D5" s="29">
        <f>+C5-365</f>
        <v>44926</v>
      </c>
      <c r="E5" s="29">
        <f>+D5-366</f>
        <v>44560</v>
      </c>
      <c r="F5" s="61" t="s">
        <v>2</v>
      </c>
      <c r="H5" s="155" t="s">
        <v>3</v>
      </c>
      <c r="I5" s="155"/>
      <c r="J5" s="146"/>
    </row>
    <row r="6" spans="1:11" ht="15.75" customHeight="1" x14ac:dyDescent="0.3">
      <c r="A6" s="54" t="s">
        <v>4</v>
      </c>
      <c r="B6" s="62"/>
      <c r="C6" s="62"/>
      <c r="D6" s="62"/>
      <c r="E6" s="63"/>
      <c r="F6" s="62"/>
      <c r="G6" s="94"/>
      <c r="H6" s="156" t="s">
        <v>5</v>
      </c>
      <c r="I6" s="156"/>
    </row>
    <row r="7" spans="1:11" ht="15.75" customHeight="1" x14ac:dyDescent="0.25">
      <c r="A7" s="2" t="s">
        <v>6</v>
      </c>
      <c r="B7" s="5">
        <f>B101/B99</f>
        <v>0.26312812293768267</v>
      </c>
      <c r="C7" s="56">
        <f t="shared" ref="C7:E7" si="0">C101/C99</f>
        <v>0.26522317547112495</v>
      </c>
      <c r="D7" s="5">
        <f t="shared" si="0"/>
        <v>0.28118826193803304</v>
      </c>
      <c r="E7" s="5">
        <f t="shared" si="0"/>
        <v>0.28388562562340686</v>
      </c>
      <c r="F7" s="5">
        <v>0.3075</v>
      </c>
      <c r="G7" s="145"/>
      <c r="H7" t="s">
        <v>7</v>
      </c>
      <c r="I7" s="147">
        <f>((B7/E7)^(1/2))-1</f>
        <v>-3.7253535586820097E-2</v>
      </c>
      <c r="J7" s="145"/>
    </row>
    <row r="8" spans="1:11" ht="15.75" customHeight="1" x14ac:dyDescent="0.25">
      <c r="A8" s="2" t="s">
        <v>8</v>
      </c>
      <c r="B8" s="5">
        <f>B106/B99</f>
        <v>5.1538292322679993E-2</v>
      </c>
      <c r="C8" s="56">
        <f t="shared" ref="C8:E8" si="1">C106/C99</f>
        <v>5.363334485612227E-2</v>
      </c>
      <c r="D8" s="5">
        <f t="shared" si="1"/>
        <v>6.5821808895099504E-2</v>
      </c>
      <c r="E8" s="5">
        <f t="shared" si="1"/>
        <v>5.4458051645794085E-2</v>
      </c>
      <c r="F8" s="5">
        <v>0.08</v>
      </c>
      <c r="G8" s="147"/>
      <c r="H8" t="s">
        <v>9</v>
      </c>
      <c r="I8" s="147">
        <f>((B8/E8)^(1/2))-1</f>
        <v>-2.7176702893785709E-2</v>
      </c>
      <c r="J8" s="145"/>
      <c r="K8" s="72"/>
    </row>
    <row r="9" spans="1:11" ht="15.75" customHeight="1" x14ac:dyDescent="0.25">
      <c r="A9" s="2" t="s">
        <v>10</v>
      </c>
      <c r="B9" s="5">
        <f>B114/B99</f>
        <v>3.9481264992719693E-2</v>
      </c>
      <c r="C9" s="56">
        <f>C114/C99</f>
        <v>4.1094391243699048E-2</v>
      </c>
      <c r="D9" s="5">
        <f t="shared" ref="D9:E9" si="2">D114/D99</f>
        <v>5.1161277887534336E-2</v>
      </c>
      <c r="E9" s="5">
        <f t="shared" si="2"/>
        <v>4.7586722819461379E-2</v>
      </c>
      <c r="F9" s="5">
        <v>5.7500000000000002E-2</v>
      </c>
      <c r="G9" s="72"/>
      <c r="H9" s="72" t="s">
        <v>11</v>
      </c>
      <c r="I9" s="147">
        <f>((B9/E9)^(1/2))-1</f>
        <v>-8.9137901803223119E-2</v>
      </c>
      <c r="J9" s="145"/>
      <c r="K9" s="145"/>
    </row>
    <row r="10" spans="1:11" ht="15.75" customHeight="1" x14ac:dyDescent="0.25">
      <c r="A10" s="2"/>
      <c r="B10" s="1"/>
      <c r="C10" s="56"/>
      <c r="D10" s="1"/>
      <c r="E10" s="1"/>
      <c r="F10" s="1"/>
      <c r="G10" s="72"/>
      <c r="H10" s="72"/>
      <c r="I10" s="72"/>
      <c r="J10" s="72"/>
      <c r="K10" s="72"/>
    </row>
    <row r="11" spans="1:11" ht="15.75" customHeight="1" x14ac:dyDescent="0.3">
      <c r="A11" s="54" t="s">
        <v>12</v>
      </c>
      <c r="B11" s="62"/>
      <c r="C11" s="62"/>
      <c r="D11" s="62"/>
      <c r="E11" s="63"/>
      <c r="F11" s="62"/>
      <c r="G11" s="121"/>
      <c r="H11" s="155" t="s">
        <v>13</v>
      </c>
      <c r="I11" s="155"/>
      <c r="J11" s="155"/>
      <c r="K11" s="72"/>
    </row>
    <row r="12" spans="1:11" ht="15.75" customHeight="1" x14ac:dyDescent="0.25">
      <c r="A12" s="69" t="s">
        <v>14</v>
      </c>
      <c r="B12" s="26">
        <f>(B54/B99)*365</f>
        <v>10.063375339136629</v>
      </c>
      <c r="C12" s="57">
        <f t="shared" ref="C12:D12" si="3">(C54/C99)*365</f>
        <v>10.063375339136629</v>
      </c>
      <c r="D12" s="26">
        <f t="shared" si="3"/>
        <v>9.5282007420613883</v>
      </c>
      <c r="E12" s="125"/>
      <c r="F12" s="1">
        <v>10.1</v>
      </c>
      <c r="G12" s="94"/>
      <c r="I12" s="143">
        <v>2023</v>
      </c>
      <c r="J12" s="143">
        <v>2022</v>
      </c>
      <c r="K12" s="73"/>
    </row>
    <row r="13" spans="1:11" ht="15.75" customHeight="1" x14ac:dyDescent="0.25">
      <c r="A13" s="69" t="s">
        <v>15</v>
      </c>
      <c r="B13" s="91">
        <f>(B55/B100)*365</f>
        <v>35.553565336062782</v>
      </c>
      <c r="C13" s="96">
        <f t="shared" ref="C13:D13" si="4">(C55/C100)*365</f>
        <v>46.582458941605843</v>
      </c>
      <c r="D13" s="91">
        <f t="shared" si="4"/>
        <v>43.039048097871628</v>
      </c>
      <c r="E13" s="126"/>
      <c r="F13" s="1">
        <v>38</v>
      </c>
      <c r="H13" s="122" t="s">
        <v>7</v>
      </c>
      <c r="I13" s="5">
        <f>(B101-194)/B99</f>
        <v>0.26109592198024367</v>
      </c>
      <c r="J13" s="139">
        <f>(D101-268)/D99</f>
        <v>0.27795981303907868</v>
      </c>
      <c r="K13" s="73"/>
    </row>
    <row r="14" spans="1:11" ht="15.75" customHeight="1" x14ac:dyDescent="0.25">
      <c r="A14" s="69" t="s">
        <v>16</v>
      </c>
      <c r="B14" s="27">
        <f>(B68*365)/B100</f>
        <v>24.050025588536336</v>
      </c>
      <c r="C14" s="58">
        <f t="shared" ref="C14:D14" si="5">(C68*365)/C100</f>
        <v>24.118598882299271</v>
      </c>
      <c r="D14" s="27">
        <f t="shared" si="5"/>
        <v>26.816825875649403</v>
      </c>
      <c r="E14" s="127"/>
      <c r="F14" s="1">
        <v>35</v>
      </c>
      <c r="H14" t="s">
        <v>9</v>
      </c>
      <c r="I14" s="139">
        <f>(B106-194)/B99</f>
        <v>4.9506091365240985E-2</v>
      </c>
      <c r="J14" s="139">
        <f>(D106-268)/D99</f>
        <v>6.259335999614514E-2</v>
      </c>
      <c r="K14" s="73"/>
    </row>
    <row r="15" spans="1:11" ht="15.75" customHeight="1" x14ac:dyDescent="0.25">
      <c r="A15" s="69" t="s">
        <v>17</v>
      </c>
      <c r="B15" s="26">
        <f>B99/B65</f>
        <v>1.5928286586688469</v>
      </c>
      <c r="C15" s="57">
        <f t="shared" ref="C15:D15" si="6">C99/C65</f>
        <v>1.5509845622744975</v>
      </c>
      <c r="D15" s="26">
        <f t="shared" si="6"/>
        <v>2.4807841730918656</v>
      </c>
      <c r="E15" s="125"/>
      <c r="F15" s="1">
        <v>2.2000000000000002</v>
      </c>
      <c r="G15" s="122"/>
      <c r="H15" s="122" t="s">
        <v>11</v>
      </c>
      <c r="I15" s="151">
        <f>(B114-194)/B99</f>
        <v>3.7449064035280685E-2</v>
      </c>
      <c r="J15" s="151">
        <f>(D114-268)/D99</f>
        <v>4.7932828988579965E-2</v>
      </c>
      <c r="K15" s="73"/>
    </row>
    <row r="16" spans="1:11" ht="15.75" customHeight="1" x14ac:dyDescent="0.25">
      <c r="A16" s="69"/>
      <c r="B16" s="26"/>
      <c r="C16" s="57"/>
      <c r="D16" s="26"/>
      <c r="E16" s="26"/>
      <c r="F16" s="1"/>
      <c r="G16" s="122"/>
      <c r="J16" s="73"/>
      <c r="K16" s="73"/>
    </row>
    <row r="17" spans="1:11" ht="15.75" customHeight="1" x14ac:dyDescent="0.25">
      <c r="A17" s="70" t="s">
        <v>18</v>
      </c>
      <c r="B17" s="62"/>
      <c r="C17" s="62"/>
      <c r="D17" s="62"/>
      <c r="E17" s="63"/>
      <c r="F17" s="67"/>
      <c r="G17" s="122"/>
      <c r="H17" s="155" t="s">
        <v>19</v>
      </c>
      <c r="I17" s="155"/>
      <c r="J17" s="73"/>
      <c r="K17" s="73"/>
    </row>
    <row r="18" spans="1:11" ht="15.75" customHeight="1" x14ac:dyDescent="0.25">
      <c r="A18" s="69" t="s">
        <v>20</v>
      </c>
      <c r="B18" s="25">
        <f>(B73+B67)/B84</f>
        <v>0.25943250745348001</v>
      </c>
      <c r="C18" s="134">
        <f>(C73+C67)/C84</f>
        <v>0.23952424724576926</v>
      </c>
      <c r="D18" s="25">
        <f>(D73+D67)/D84</f>
        <v>0.29567887694669881</v>
      </c>
      <c r="E18" s="128"/>
      <c r="F18" s="1" t="s">
        <v>21</v>
      </c>
      <c r="G18" s="123"/>
      <c r="H18" s="143" t="s">
        <v>11</v>
      </c>
      <c r="I18" s="139">
        <f>(E114-E107)/E99</f>
        <v>4.1574310096420257E-2</v>
      </c>
      <c r="J18" s="73"/>
      <c r="K18" s="73"/>
    </row>
    <row r="19" spans="1:11" ht="15.75" customHeight="1" x14ac:dyDescent="0.25">
      <c r="A19" s="71" t="s">
        <v>22</v>
      </c>
      <c r="B19" s="5">
        <f>(B71+B77-B74)/B84</f>
        <v>0.82384085535108464</v>
      </c>
      <c r="C19" s="56">
        <f>(C71+C77-C74)/C84</f>
        <v>0.76062118300137582</v>
      </c>
      <c r="D19" s="5">
        <f>(D71+D77-D74)/D84</f>
        <v>0.83494187321781088</v>
      </c>
      <c r="E19" s="129"/>
      <c r="F19" s="14">
        <v>2.2999999999999998</v>
      </c>
      <c r="G19" s="149"/>
      <c r="H19" s="139" t="s">
        <v>23</v>
      </c>
      <c r="I19" s="139">
        <f>((B9/I18)^(1/2))-1</f>
        <v>-2.5497395777578924E-2</v>
      </c>
      <c r="J19" s="73"/>
      <c r="K19" s="73"/>
    </row>
    <row r="20" spans="1:11" ht="15.75" customHeight="1" x14ac:dyDescent="0.25">
      <c r="A20" s="69" t="s">
        <v>24</v>
      </c>
      <c r="B20" s="14">
        <f>(B73)/(B67+B73+B84)</f>
        <v>0.18272723562303581</v>
      </c>
      <c r="C20" s="135">
        <f>(C73)/(C67+C73+C84)</f>
        <v>0.17141477260039018</v>
      </c>
      <c r="D20" s="14">
        <f>(D73)/(D67+D73+D84)</f>
        <v>0.17238022684950061</v>
      </c>
      <c r="E20" s="130"/>
      <c r="F20" s="14">
        <v>0.7</v>
      </c>
      <c r="G20" s="95"/>
      <c r="H20" s="73"/>
      <c r="I20" s="73"/>
      <c r="J20" s="73"/>
      <c r="K20" s="73"/>
    </row>
    <row r="21" spans="1:11" ht="15.75" customHeight="1" x14ac:dyDescent="0.25">
      <c r="A21" s="69" t="s">
        <v>25</v>
      </c>
      <c r="B21" s="14">
        <f>(B73+B67)/(B67+B73+B84)</f>
        <v>0.20599159217991103</v>
      </c>
      <c r="C21" s="135">
        <f>(C73+C67)/(C67+C73+C84)</f>
        <v>0.19323885577712066</v>
      </c>
      <c r="D21" s="14">
        <f>(D73+D67)/(D67+D73+D84)</f>
        <v>0.22820382596918909</v>
      </c>
      <c r="E21" s="130"/>
      <c r="F21" s="68">
        <v>0.72</v>
      </c>
      <c r="G21" s="122"/>
      <c r="H21" s="73"/>
      <c r="I21" s="73"/>
      <c r="J21" s="73"/>
      <c r="K21" s="73"/>
    </row>
    <row r="22" spans="1:11" ht="15.75" customHeight="1" x14ac:dyDescent="0.25">
      <c r="A22" s="69" t="s">
        <v>26</v>
      </c>
      <c r="B22" s="24">
        <f>(B73+B67)/(B117+H58)</f>
        <v>0.9461942257217848</v>
      </c>
      <c r="C22" s="153">
        <f>(C73+C67)/(C117+H58)</f>
        <v>0.94513108614232211</v>
      </c>
      <c r="D22" s="24">
        <f>(D73+D67)/(D117+I58)</f>
        <v>0.95738636363636365</v>
      </c>
      <c r="E22" s="131"/>
      <c r="F22" s="66">
        <v>2.4900000000000002</v>
      </c>
      <c r="G22" s="121" t="s">
        <v>27</v>
      </c>
      <c r="H22" s="73"/>
      <c r="I22" s="73"/>
      <c r="J22" s="73"/>
      <c r="K22" s="73"/>
    </row>
    <row r="23" spans="1:11" ht="15.75" customHeight="1" x14ac:dyDescent="0.95">
      <c r="A23" s="69" t="s">
        <v>28</v>
      </c>
      <c r="B23" s="93">
        <f>B106/-B108</f>
        <v>29.818181818181817</v>
      </c>
      <c r="C23" s="97">
        <f>C106/-C108</f>
        <v>31.030303030303031</v>
      </c>
      <c r="D23" s="93">
        <f>D106/-D108</f>
        <v>62.090909090909093</v>
      </c>
      <c r="E23" s="138">
        <f>E106/-E108</f>
        <v>55.366197183098592</v>
      </c>
      <c r="F23" s="66">
        <v>3.89</v>
      </c>
      <c r="G23" s="124"/>
      <c r="H23" s="65"/>
      <c r="I23" s="65"/>
      <c r="J23" s="65"/>
      <c r="K23" s="65"/>
    </row>
    <row r="24" spans="1:11" ht="15.75" customHeight="1" x14ac:dyDescent="0.25">
      <c r="A24" s="69" t="s">
        <v>29</v>
      </c>
      <c r="B24" s="24">
        <f>(B117+2594 )/(2594 +B108)</f>
        <v>3.4055166735282008</v>
      </c>
      <c r="C24" s="137">
        <f>(C117+2594 )/(2594 +C108)</f>
        <v>3.4079868258542612</v>
      </c>
      <c r="D24" s="24">
        <f>(D117+2334 )/(2334 +D108)</f>
        <v>3.6803205699020483</v>
      </c>
      <c r="E24" s="136">
        <f>(E117+2100 )/(2100 +E108)</f>
        <v>2.8344011828486941</v>
      </c>
      <c r="F24" s="66">
        <v>1.97</v>
      </c>
      <c r="G24" s="152"/>
      <c r="H24" s="2"/>
      <c r="J24" s="2"/>
    </row>
    <row r="25" spans="1:11" ht="15.75" customHeight="1" x14ac:dyDescent="0.25">
      <c r="A25" s="69"/>
      <c r="B25" s="24"/>
      <c r="C25" s="59"/>
      <c r="D25" s="1"/>
      <c r="E25" s="26"/>
      <c r="F25" s="1"/>
    </row>
    <row r="26" spans="1:11" ht="15.75" customHeight="1" x14ac:dyDescent="0.3">
      <c r="A26" s="54" t="s">
        <v>30</v>
      </c>
      <c r="B26" s="62"/>
      <c r="C26" s="62"/>
      <c r="D26" s="62"/>
      <c r="E26" s="63"/>
      <c r="F26" s="62"/>
      <c r="G26" s="23"/>
    </row>
    <row r="27" spans="1:11" ht="15.75" customHeight="1" x14ac:dyDescent="0.25">
      <c r="A27" s="2" t="s">
        <v>20</v>
      </c>
      <c r="B27" s="25">
        <f>(B73+B67+B74)/B84</f>
        <v>1.5163462526986737</v>
      </c>
      <c r="C27" s="134">
        <f>(C73+C67+C74)/C84</f>
        <v>1.3999852921543388</v>
      </c>
      <c r="D27" s="132">
        <f>(D73+D67+D74)/D84</f>
        <v>0.29567887694669881</v>
      </c>
      <c r="E27" s="144"/>
      <c r="F27" s="143" t="s">
        <v>21</v>
      </c>
      <c r="G27" s="145"/>
      <c r="I27" s="92"/>
    </row>
    <row r="28" spans="1:11" ht="15.75" customHeight="1" x14ac:dyDescent="0.25">
      <c r="A28" t="s">
        <v>22</v>
      </c>
      <c r="B28" s="139">
        <f>(B71+B77)/B84</f>
        <v>2.0807546005962783</v>
      </c>
      <c r="C28" s="140">
        <f>(C71+C77)/C84</f>
        <v>1.9210822279099453</v>
      </c>
      <c r="D28" s="139">
        <f>(D71+D77)/D84</f>
        <v>0.83494187321781088</v>
      </c>
      <c r="E28" s="142"/>
      <c r="F28" s="133">
        <v>2.2999999999999998</v>
      </c>
      <c r="G28" s="145"/>
    </row>
    <row r="29" spans="1:11" ht="15.75" customHeight="1" x14ac:dyDescent="0.25">
      <c r="A29" s="2" t="s">
        <v>31</v>
      </c>
      <c r="B29" s="133">
        <f>(B73+B74)/(B67+B73+B84+B74)</f>
        <v>0.59095458909566323</v>
      </c>
      <c r="C29" s="135">
        <f>(C73+C74)/(C67+C73+C84+C74)</f>
        <v>0.57205926068424495</v>
      </c>
      <c r="D29" s="133">
        <f>(D73+D74)/(D67+D73+D84+D74)</f>
        <v>0.17238022684950061</v>
      </c>
      <c r="E29" s="144"/>
      <c r="F29" s="133">
        <v>0.7</v>
      </c>
      <c r="G29" s="145"/>
    </row>
    <row r="30" spans="1:11" ht="15.75" customHeight="1" x14ac:dyDescent="0.25">
      <c r="A30" s="2" t="s">
        <v>25</v>
      </c>
      <c r="B30" s="133">
        <f>(B73+B67+B74)/(B67+B73+B84+B74)</f>
        <v>0.60259841072048703</v>
      </c>
      <c r="C30" s="135">
        <f>(C73+C67+C74)/(C67+C73+C84+C74)</f>
        <v>0.58333077987225768</v>
      </c>
      <c r="D30" s="133">
        <f>(D73+D67+D74)/(D67+D73+D84+D74)</f>
        <v>0.22820382596918909</v>
      </c>
      <c r="E30" s="128"/>
      <c r="F30" s="68">
        <v>0.72</v>
      </c>
      <c r="G30" s="145"/>
    </row>
    <row r="31" spans="1:11" ht="15.75" customHeight="1" x14ac:dyDescent="0.25">
      <c r="A31" s="2" t="s">
        <v>26</v>
      </c>
      <c r="B31" s="24">
        <f>(B73+B67+B74)/B117</f>
        <v>5.1953152518492427</v>
      </c>
      <c r="C31" s="137">
        <f>(C73+C67+C74)/C117</f>
        <v>5.1898311048557355</v>
      </c>
      <c r="D31" s="24">
        <f>(D73+D67+D74)/D117</f>
        <v>0.90896830748482804</v>
      </c>
      <c r="E31" s="131"/>
      <c r="F31" s="66">
        <v>2.4900000000000002</v>
      </c>
    </row>
    <row r="32" spans="1:11" ht="15.75" customHeight="1" x14ac:dyDescent="0.25">
      <c r="A32" s="2" t="s">
        <v>28</v>
      </c>
      <c r="B32" s="138">
        <f>B106/-B108</f>
        <v>29.818181818181817</v>
      </c>
      <c r="C32" s="141">
        <f>C106/-C108</f>
        <v>31.030303030303031</v>
      </c>
      <c r="D32" s="138">
        <f>D106/-D108</f>
        <v>62.090909090909093</v>
      </c>
      <c r="E32" s="136">
        <f>E106/-E108</f>
        <v>55.366197183098592</v>
      </c>
      <c r="F32" s="66">
        <v>3.89</v>
      </c>
    </row>
    <row r="33" spans="1:10" ht="15.75" customHeight="1" x14ac:dyDescent="0.25">
      <c r="A33" s="2" t="s">
        <v>32</v>
      </c>
      <c r="B33" s="24">
        <f>(B117+2594 )/(2594 +B108)</f>
        <v>3.4055166735282008</v>
      </c>
      <c r="C33" s="59">
        <f>(C117+2594 )/(2594 +C108)</f>
        <v>3.4079868258542612</v>
      </c>
      <c r="D33" s="24">
        <f>(D117+2334 )/(2334 +D108)</f>
        <v>3.6803205699020483</v>
      </c>
      <c r="E33" s="24">
        <f>(E117+2100 )/(2100 +E108)</f>
        <v>2.8344011828486941</v>
      </c>
      <c r="F33" s="66">
        <v>1.97</v>
      </c>
    </row>
    <row r="34" spans="1:10" ht="15.75" customHeight="1" x14ac:dyDescent="0.25">
      <c r="A34" s="2"/>
      <c r="B34" s="24"/>
      <c r="C34" s="59"/>
      <c r="D34" s="1"/>
      <c r="E34" s="26"/>
      <c r="F34" s="1"/>
    </row>
    <row r="35" spans="1:10" ht="15.75" customHeight="1" x14ac:dyDescent="0.3">
      <c r="A35" s="54" t="s">
        <v>33</v>
      </c>
      <c r="B35" s="62"/>
      <c r="C35" s="62"/>
      <c r="D35" s="62"/>
      <c r="E35" s="63"/>
      <c r="F35" s="62"/>
    </row>
    <row r="36" spans="1:10" ht="15.75" customHeight="1" x14ac:dyDescent="0.25">
      <c r="A36" s="2" t="s">
        <v>34</v>
      </c>
      <c r="B36" s="24">
        <f>B57/B71</f>
        <v>1.3367105707531239</v>
      </c>
      <c r="C36" s="59">
        <f t="shared" ref="C36:D36" si="7">C57/C71</f>
        <v>1.5187364233503369</v>
      </c>
      <c r="D36" s="24">
        <f t="shared" si="7"/>
        <v>1.2336620041274937</v>
      </c>
      <c r="E36" s="131"/>
      <c r="F36" s="66">
        <v>1.08</v>
      </c>
    </row>
    <row r="37" spans="1:10" ht="13.2" x14ac:dyDescent="0.25">
      <c r="A37" s="2" t="s">
        <v>35</v>
      </c>
      <c r="B37" s="24">
        <f>(B57-B55)/B71</f>
        <v>0.56534954407294835</v>
      </c>
      <c r="C37" s="59">
        <f t="shared" ref="C37:D37" si="8">(C57-C55)/C71</f>
        <v>0.51096877728481838</v>
      </c>
      <c r="D37" s="24">
        <f t="shared" si="8"/>
        <v>0.42696629213483145</v>
      </c>
      <c r="E37" s="131"/>
      <c r="F37" s="66">
        <v>0.61</v>
      </c>
      <c r="G37" s="3"/>
      <c r="I37" s="18"/>
      <c r="J37" s="18"/>
    </row>
    <row r="38" spans="1:10" ht="13.2" x14ac:dyDescent="0.25">
      <c r="A38" s="2" t="s">
        <v>36</v>
      </c>
      <c r="B38" s="26">
        <f>B12+B13-B14</f>
        <v>21.566915086663073</v>
      </c>
      <c r="C38" s="57">
        <f t="shared" ref="C38:D38" si="9">C12+C13-C14</f>
        <v>32.527235398443196</v>
      </c>
      <c r="D38" s="26">
        <f t="shared" si="9"/>
        <v>25.750422964283612</v>
      </c>
      <c r="E38" s="125"/>
      <c r="F38" s="66">
        <v>13.1</v>
      </c>
      <c r="G38" s="11"/>
      <c r="I38" s="18"/>
      <c r="J38" s="18"/>
    </row>
    <row r="39" spans="1:10" ht="13.2" x14ac:dyDescent="0.25">
      <c r="A39" s="2"/>
      <c r="B39" s="1"/>
      <c r="C39" s="60"/>
      <c r="D39" s="1"/>
      <c r="E39" s="26"/>
      <c r="F39" s="66"/>
      <c r="G39" s="3"/>
      <c r="I39" s="19"/>
      <c r="J39" s="19"/>
    </row>
    <row r="40" spans="1:10" ht="15.6" x14ac:dyDescent="0.3">
      <c r="A40" s="54" t="s">
        <v>37</v>
      </c>
      <c r="B40" s="62"/>
      <c r="C40" s="62"/>
      <c r="D40" s="62"/>
      <c r="E40" s="63"/>
      <c r="F40" s="62"/>
    </row>
    <row r="41" spans="1:10" ht="13.2" x14ac:dyDescent="0.25">
      <c r="A41" s="2" t="s">
        <v>38</v>
      </c>
      <c r="B41" s="5">
        <f>B114/B84</f>
        <v>0.1937390767965457</v>
      </c>
      <c r="C41" s="56">
        <f>C114/C84</f>
        <v>0.18618033563943692</v>
      </c>
      <c r="D41" s="5">
        <f t="shared" ref="D41" si="10">D114/D84</f>
        <v>0.23289098486510199</v>
      </c>
      <c r="E41" s="129"/>
      <c r="F41" s="68">
        <v>0.21079999999999999</v>
      </c>
    </row>
    <row r="42" spans="1:10" ht="13.2" x14ac:dyDescent="0.25">
      <c r="A42" s="2" t="s">
        <v>39</v>
      </c>
      <c r="B42" s="5">
        <f>B114/B65</f>
        <v>6.2886890360903003E-2</v>
      </c>
      <c r="C42" s="56">
        <f>C114/C65</f>
        <v>6.3736766415045512E-2</v>
      </c>
      <c r="D42" s="5">
        <f t="shared" ref="D42" si="11">D114/D65</f>
        <v>0.12692008845854999</v>
      </c>
      <c r="E42" s="129"/>
      <c r="F42" s="68">
        <v>8.5199999999999998E-2</v>
      </c>
    </row>
    <row r="43" spans="1:10" ht="13.2" x14ac:dyDescent="0.25">
      <c r="A43" s="2" t="s">
        <v>40</v>
      </c>
      <c r="B43" s="5">
        <f>B119/(B67+B73+B84)</f>
        <v>0.15461610684919616</v>
      </c>
      <c r="C43" s="140">
        <f>C119/(C67+C73+C84)</f>
        <v>0.15094007268593365</v>
      </c>
      <c r="D43" s="5">
        <f>D119/(D67+D73+D84)</f>
        <v>0.18268661525470187</v>
      </c>
      <c r="E43" s="129"/>
      <c r="F43" s="68">
        <v>0.1022</v>
      </c>
    </row>
    <row r="44" spans="1:10" ht="13.2" x14ac:dyDescent="0.25"/>
    <row r="46" spans="1:10" ht="15.75" customHeight="1" x14ac:dyDescent="0.25">
      <c r="F46" s="17"/>
    </row>
    <row r="47" spans="1:10" ht="18" x14ac:dyDescent="0.35">
      <c r="A47" s="160" t="s">
        <v>41</v>
      </c>
      <c r="B47" s="162"/>
      <c r="C47" s="162"/>
      <c r="D47" s="162"/>
      <c r="E47" s="162"/>
      <c r="G47" s="160" t="s">
        <v>41</v>
      </c>
      <c r="H47" s="162"/>
      <c r="I47" s="162"/>
      <c r="J47" s="162"/>
    </row>
    <row r="48" spans="1:10" ht="18" x14ac:dyDescent="0.35">
      <c r="A48" s="160" t="s">
        <v>42</v>
      </c>
      <c r="B48" s="162"/>
      <c r="C48" s="162"/>
      <c r="D48" s="162"/>
      <c r="E48" s="162"/>
      <c r="G48" s="160" t="s">
        <v>43</v>
      </c>
      <c r="H48" s="162"/>
      <c r="I48" s="162"/>
      <c r="J48" s="162"/>
    </row>
    <row r="49" spans="1:10" ht="18" x14ac:dyDescent="0.35">
      <c r="A49" s="160" t="s">
        <v>44</v>
      </c>
      <c r="B49" s="162"/>
      <c r="C49" s="162"/>
      <c r="D49" s="162"/>
      <c r="E49" s="162"/>
      <c r="G49" s="160" t="s">
        <v>45</v>
      </c>
      <c r="H49" s="162"/>
      <c r="I49" s="162"/>
      <c r="J49" s="162"/>
    </row>
    <row r="50" spans="1:10" ht="13.2" x14ac:dyDescent="0.25">
      <c r="B50" s="3"/>
      <c r="C50" s="66" t="s">
        <v>1</v>
      </c>
      <c r="D50" s="3"/>
      <c r="E50" s="163"/>
      <c r="G50" s="162"/>
      <c r="H50" s="162"/>
      <c r="I50" s="162"/>
      <c r="J50" s="162"/>
    </row>
    <row r="51" spans="1:10" ht="14.4" x14ac:dyDescent="0.3">
      <c r="A51" s="4" t="s">
        <v>46</v>
      </c>
      <c r="B51" s="29">
        <f>+B5</f>
        <v>45291</v>
      </c>
      <c r="C51" s="79">
        <f>+B51</f>
        <v>45291</v>
      </c>
      <c r="D51" s="29">
        <f>+C51-365</f>
        <v>44926</v>
      </c>
      <c r="E51" s="163"/>
      <c r="G51" s="4" t="s">
        <v>46</v>
      </c>
      <c r="H51" s="6">
        <f>+B51</f>
        <v>45291</v>
      </c>
      <c r="I51" s="6">
        <f>+D51</f>
        <v>44926</v>
      </c>
      <c r="J51" s="6">
        <f>+E5</f>
        <v>44560</v>
      </c>
    </row>
    <row r="52" spans="1:10" ht="14.4" x14ac:dyDescent="0.25">
      <c r="A52" s="7" t="s">
        <v>47</v>
      </c>
      <c r="B52" s="3"/>
      <c r="C52" s="3"/>
      <c r="D52" s="3"/>
      <c r="G52" s="7" t="s">
        <v>48</v>
      </c>
      <c r="H52" s="3"/>
      <c r="I52" s="3"/>
      <c r="J52" s="3"/>
    </row>
    <row r="53" spans="1:10" ht="14.4" x14ac:dyDescent="0.3">
      <c r="A53" s="8" t="s">
        <v>49</v>
      </c>
      <c r="B53" s="9">
        <v>2106</v>
      </c>
      <c r="C53" s="102">
        <f>B53-(2100*B113)</f>
        <v>1622.9356486210418</v>
      </c>
      <c r="D53" s="9">
        <v>1297</v>
      </c>
      <c r="E53" s="81"/>
      <c r="G53" s="8" t="s">
        <v>50</v>
      </c>
      <c r="H53" s="9">
        <f>+B114</f>
        <v>3769</v>
      </c>
      <c r="I53" s="9">
        <f>+D114</f>
        <v>4247</v>
      </c>
      <c r="J53" s="9">
        <f>+E114</f>
        <v>3435</v>
      </c>
    </row>
    <row r="54" spans="1:10" ht="14.4" x14ac:dyDescent="0.3">
      <c r="A54" s="8" t="s">
        <v>51</v>
      </c>
      <c r="B54" s="10">
        <v>2632</v>
      </c>
      <c r="C54" s="103">
        <v>2632</v>
      </c>
      <c r="D54" s="10">
        <v>2167</v>
      </c>
      <c r="E54" s="23"/>
      <c r="G54" s="8" t="s">
        <v>52</v>
      </c>
      <c r="H54" s="10">
        <v>1102</v>
      </c>
      <c r="I54" s="10">
        <v>908</v>
      </c>
      <c r="J54" s="10">
        <v>768</v>
      </c>
    </row>
    <row r="55" spans="1:10" ht="14.4" x14ac:dyDescent="0.3">
      <c r="A55" s="8" t="s">
        <v>53</v>
      </c>
      <c r="B55" s="10">
        <v>6852</v>
      </c>
      <c r="C55" s="103">
        <f>B55+2100</f>
        <v>8952</v>
      </c>
      <c r="D55" s="10">
        <v>7036</v>
      </c>
      <c r="G55" s="8" t="s">
        <v>54</v>
      </c>
      <c r="H55" s="15">
        <v>408</v>
      </c>
      <c r="I55" s="15">
        <v>0</v>
      </c>
      <c r="J55" s="15">
        <v>0</v>
      </c>
    </row>
    <row r="56" spans="1:10" ht="14.4" x14ac:dyDescent="0.3">
      <c r="A56" s="8" t="s">
        <v>55</v>
      </c>
      <c r="B56" s="12">
        <v>284</v>
      </c>
      <c r="C56" s="104">
        <v>284</v>
      </c>
      <c r="D56" s="12">
        <v>260</v>
      </c>
      <c r="E56" s="150"/>
      <c r="G56" s="8" t="s">
        <v>56</v>
      </c>
      <c r="H56" s="15">
        <v>-20</v>
      </c>
      <c r="I56" s="15">
        <v>0</v>
      </c>
      <c r="J56" s="15">
        <v>-352</v>
      </c>
    </row>
    <row r="57" spans="1:10" ht="14.4" x14ac:dyDescent="0.3">
      <c r="A57" s="13" t="s">
        <v>57</v>
      </c>
      <c r="B57" s="117">
        <f>SUM(B53:B56)</f>
        <v>11874</v>
      </c>
      <c r="C57" s="105">
        <f>SUM(C53:C56)</f>
        <v>13490.935648621042</v>
      </c>
      <c r="D57" s="117">
        <f>SUM(D53:D56)</f>
        <v>10760</v>
      </c>
      <c r="G57" s="8" t="s">
        <v>58</v>
      </c>
      <c r="H57" s="15">
        <v>55</v>
      </c>
      <c r="I57" s="15">
        <v>45</v>
      </c>
      <c r="J57" s="15">
        <v>36</v>
      </c>
    </row>
    <row r="58" spans="1:10" ht="14.4" x14ac:dyDescent="0.3">
      <c r="A58" s="7" t="s">
        <v>59</v>
      </c>
      <c r="B58" s="3"/>
      <c r="C58" s="106"/>
      <c r="D58" s="3"/>
      <c r="E58" s="145"/>
      <c r="G58" s="154" t="s">
        <v>60</v>
      </c>
      <c r="H58" s="15">
        <v>-344</v>
      </c>
      <c r="I58" s="15">
        <v>-300</v>
      </c>
      <c r="J58" s="15">
        <v>-280</v>
      </c>
    </row>
    <row r="59" spans="1:10" ht="14.4" x14ac:dyDescent="0.3">
      <c r="A59" s="8" t="s">
        <v>61</v>
      </c>
      <c r="B59" s="10">
        <v>12138</v>
      </c>
      <c r="C59" s="103">
        <v>12138</v>
      </c>
      <c r="D59" s="10">
        <v>12038</v>
      </c>
      <c r="G59" s="8" t="s">
        <v>62</v>
      </c>
      <c r="H59" s="15">
        <v>-115</v>
      </c>
      <c r="I59" s="15">
        <v>-101</v>
      </c>
      <c r="J59" s="15">
        <v>-92</v>
      </c>
    </row>
    <row r="60" spans="1:10" ht="14.4" x14ac:dyDescent="0.3">
      <c r="A60" s="8" t="s">
        <v>63</v>
      </c>
      <c r="B60" s="80">
        <v>24452</v>
      </c>
      <c r="C60" s="107">
        <v>24452</v>
      </c>
      <c r="D60" s="76">
        <v>0</v>
      </c>
      <c r="G60" s="20"/>
      <c r="H60" s="3"/>
      <c r="I60" s="3"/>
      <c r="J60" s="3"/>
    </row>
    <row r="61" spans="1:10" ht="14.4" x14ac:dyDescent="0.3">
      <c r="A61" s="8" t="s">
        <v>64</v>
      </c>
      <c r="B61" s="10">
        <v>6261</v>
      </c>
      <c r="C61" s="103">
        <v>6261</v>
      </c>
      <c r="D61" s="10">
        <v>6140</v>
      </c>
      <c r="F61" s="23"/>
      <c r="G61" s="8" t="s">
        <v>51</v>
      </c>
      <c r="H61" s="15">
        <v>-465</v>
      </c>
      <c r="I61" s="15">
        <v>-420</v>
      </c>
      <c r="J61" s="15">
        <v>-405</v>
      </c>
    </row>
    <row r="62" spans="1:10" ht="14.4" x14ac:dyDescent="0.3">
      <c r="A62" s="8" t="s">
        <v>65</v>
      </c>
      <c r="B62" s="10">
        <v>3249</v>
      </c>
      <c r="C62" s="103">
        <v>3249</v>
      </c>
      <c r="D62" s="10">
        <v>3027</v>
      </c>
      <c r="E62" s="150"/>
      <c r="G62" s="8" t="s">
        <v>53</v>
      </c>
      <c r="H62" s="15">
        <v>184</v>
      </c>
      <c r="I62" s="10">
        <v>126</v>
      </c>
      <c r="J62" s="15">
        <v>108</v>
      </c>
    </row>
    <row r="63" spans="1:10" ht="14.4" x14ac:dyDescent="0.3">
      <c r="A63" s="8" t="s">
        <v>66</v>
      </c>
      <c r="B63" s="118">
        <v>1959</v>
      </c>
      <c r="C63" s="108">
        <v>1959</v>
      </c>
      <c r="D63" s="118">
        <v>1497</v>
      </c>
      <c r="G63" s="8" t="s">
        <v>55</v>
      </c>
      <c r="H63" s="15">
        <v>-24</v>
      </c>
      <c r="I63" s="15">
        <v>-52</v>
      </c>
      <c r="J63" s="15">
        <v>-50</v>
      </c>
    </row>
    <row r="64" spans="1:10" ht="14.4" x14ac:dyDescent="0.3">
      <c r="A64" s="8" t="s">
        <v>67</v>
      </c>
      <c r="B64" s="118">
        <f>SUM(B59:B63)</f>
        <v>48059</v>
      </c>
      <c r="C64" s="108">
        <f>SUM(C59:C63)</f>
        <v>48059</v>
      </c>
      <c r="D64" s="118">
        <f>SUM(D59:D63)</f>
        <v>22702</v>
      </c>
      <c r="G64" s="8" t="s">
        <v>68</v>
      </c>
      <c r="H64" s="15">
        <v>251</v>
      </c>
      <c r="I64" s="15">
        <v>-339</v>
      </c>
      <c r="J64" s="15">
        <v>270</v>
      </c>
    </row>
    <row r="65" spans="1:15" ht="14.4" x14ac:dyDescent="0.3">
      <c r="A65" s="13" t="s">
        <v>69</v>
      </c>
      <c r="B65" s="117">
        <f>+B64+B57</f>
        <v>59933</v>
      </c>
      <c r="C65" s="116">
        <f>+C64+C57</f>
        <v>61549.935648621045</v>
      </c>
      <c r="D65" s="119">
        <f>+D64+D57</f>
        <v>33462</v>
      </c>
      <c r="G65" s="8" t="s">
        <v>70</v>
      </c>
      <c r="H65" s="15">
        <v>558</v>
      </c>
      <c r="I65" s="15">
        <v>-126</v>
      </c>
      <c r="J65" s="15">
        <v>68</v>
      </c>
    </row>
    <row r="66" spans="1:15" ht="14.4" x14ac:dyDescent="0.3">
      <c r="A66" s="7" t="s">
        <v>71</v>
      </c>
      <c r="B66" s="3"/>
      <c r="C66" s="106"/>
      <c r="D66" s="3"/>
      <c r="E66" s="23"/>
      <c r="G66" s="8" t="s">
        <v>72</v>
      </c>
      <c r="H66" s="15">
        <v>101</v>
      </c>
      <c r="I66" s="15">
        <v>180</v>
      </c>
      <c r="J66" s="15">
        <v>98</v>
      </c>
    </row>
    <row r="67" spans="1:15" ht="14.4" x14ac:dyDescent="0.3">
      <c r="A67" s="8" t="s">
        <v>73</v>
      </c>
      <c r="B67" s="15">
        <v>570</v>
      </c>
      <c r="C67" s="109">
        <v>570</v>
      </c>
      <c r="D67" s="10">
        <v>1319</v>
      </c>
      <c r="G67" s="8" t="s">
        <v>74</v>
      </c>
      <c r="H67" s="12">
        <v>157</v>
      </c>
      <c r="I67" s="12">
        <v>263</v>
      </c>
      <c r="J67" s="12">
        <v>39</v>
      </c>
    </row>
    <row r="68" spans="1:15" ht="14.4" x14ac:dyDescent="0.3">
      <c r="A68" s="8" t="s">
        <v>68</v>
      </c>
      <c r="B68" s="10">
        <v>4635</v>
      </c>
      <c r="C68" s="103">
        <v>4635</v>
      </c>
      <c r="D68" s="10">
        <v>4384</v>
      </c>
      <c r="E68" s="148"/>
      <c r="G68" s="13" t="s">
        <v>75</v>
      </c>
      <c r="H68" s="21">
        <f>SUM(H53:H67)</f>
        <v>5617</v>
      </c>
      <c r="I68" s="21">
        <f>SUM(I53:I67)</f>
        <v>4431</v>
      </c>
      <c r="J68" s="21">
        <f>SUM(J53:J67)</f>
        <v>3643</v>
      </c>
    </row>
    <row r="69" spans="1:15" ht="14.4" x14ac:dyDescent="0.3">
      <c r="A69" s="8" t="s">
        <v>70</v>
      </c>
      <c r="B69" s="10">
        <v>3577</v>
      </c>
      <c r="C69" s="103">
        <v>3577</v>
      </c>
      <c r="D69" s="10">
        <v>3019</v>
      </c>
      <c r="E69" s="148"/>
      <c r="G69" s="20"/>
      <c r="H69" s="3"/>
      <c r="I69" s="3"/>
      <c r="J69" s="3"/>
    </row>
    <row r="70" spans="1:15" ht="14.4" x14ac:dyDescent="0.3">
      <c r="A70" s="8" t="s">
        <v>72</v>
      </c>
      <c r="B70" s="15">
        <v>101</v>
      </c>
      <c r="C70" s="109">
        <v>101</v>
      </c>
      <c r="D70" s="15">
        <v>0</v>
      </c>
      <c r="E70" s="148"/>
      <c r="G70" s="7" t="s">
        <v>76</v>
      </c>
      <c r="H70" s="3"/>
      <c r="I70" s="3"/>
      <c r="J70" s="3"/>
    </row>
    <row r="71" spans="1:15" ht="14.4" x14ac:dyDescent="0.3">
      <c r="A71" s="13" t="s">
        <v>77</v>
      </c>
      <c r="B71" s="119">
        <f>SUM(B67:B70)</f>
        <v>8883</v>
      </c>
      <c r="C71" s="110">
        <f>SUM(C67:C70)</f>
        <v>8883</v>
      </c>
      <c r="D71" s="117">
        <f>SUM(D67:D70)</f>
        <v>8722</v>
      </c>
      <c r="G71" s="8" t="s">
        <v>78</v>
      </c>
      <c r="H71" s="10">
        <v>-1285</v>
      </c>
      <c r="I71" s="10">
        <v>-1550</v>
      </c>
      <c r="J71" s="10">
        <v>-974</v>
      </c>
    </row>
    <row r="72" spans="1:15" ht="14.4" x14ac:dyDescent="0.3">
      <c r="A72" s="7" t="s">
        <v>79</v>
      </c>
      <c r="B72" s="3"/>
      <c r="C72" s="106"/>
      <c r="D72" s="3"/>
      <c r="G72" s="8" t="s">
        <v>80</v>
      </c>
      <c r="H72" s="15">
        <v>103</v>
      </c>
      <c r="I72" s="15">
        <v>83</v>
      </c>
      <c r="J72" s="15">
        <v>79</v>
      </c>
    </row>
    <row r="73" spans="1:15" ht="14.4" x14ac:dyDescent="0.3">
      <c r="A73" s="8" t="s">
        <v>81</v>
      </c>
      <c r="B73" s="10">
        <v>4477</v>
      </c>
      <c r="C73" s="103">
        <v>4477</v>
      </c>
      <c r="D73" s="10">
        <v>4073</v>
      </c>
      <c r="G73" s="8" t="s">
        <v>82</v>
      </c>
      <c r="H73" s="15">
        <v>-630</v>
      </c>
      <c r="I73" s="15">
        <v>-368</v>
      </c>
      <c r="J73" s="15">
        <v>-630</v>
      </c>
    </row>
    <row r="74" spans="1:15" ht="14.4" x14ac:dyDescent="0.3">
      <c r="A74" s="75" t="s">
        <v>83</v>
      </c>
      <c r="B74" s="80">
        <v>24452</v>
      </c>
      <c r="C74" s="107">
        <v>24452</v>
      </c>
      <c r="D74" s="76">
        <v>0</v>
      </c>
      <c r="G74" s="8" t="s">
        <v>84</v>
      </c>
      <c r="H74" s="15">
        <v>-100</v>
      </c>
      <c r="I74" s="10">
        <v>-4025</v>
      </c>
      <c r="J74" s="15">
        <v>0</v>
      </c>
    </row>
    <row r="75" spans="1:15" ht="14.4" x14ac:dyDescent="0.3">
      <c r="A75" s="8" t="s">
        <v>85</v>
      </c>
      <c r="B75" s="15">
        <v>600</v>
      </c>
      <c r="C75" s="109">
        <v>600</v>
      </c>
      <c r="D75" s="15">
        <v>545</v>
      </c>
      <c r="G75" s="13" t="s">
        <v>86</v>
      </c>
      <c r="H75" s="21">
        <f>SUM(H71:H74)</f>
        <v>-1912</v>
      </c>
      <c r="I75" s="21">
        <f>SUM(I71:I74)</f>
        <v>-5860</v>
      </c>
      <c r="J75" s="21">
        <f>SUM(J71:J74)</f>
        <v>-1525</v>
      </c>
      <c r="L75" s="2" t="s">
        <v>87</v>
      </c>
    </row>
    <row r="76" spans="1:15" ht="14.4" x14ac:dyDescent="0.3">
      <c r="A76" s="8" t="s">
        <v>88</v>
      </c>
      <c r="B76" s="10">
        <v>2067</v>
      </c>
      <c r="C76" s="103">
        <v>2067</v>
      </c>
      <c r="D76" s="10">
        <v>1886</v>
      </c>
      <c r="G76" s="8"/>
      <c r="H76" s="15"/>
      <c r="I76" s="15"/>
      <c r="J76" s="15"/>
    </row>
    <row r="77" spans="1:15" ht="14.4" x14ac:dyDescent="0.3">
      <c r="A77" s="13" t="s">
        <v>89</v>
      </c>
      <c r="B77" s="119">
        <f>SUM(B73:B76)</f>
        <v>31596</v>
      </c>
      <c r="C77" s="110">
        <f>SUM(C73:C76)</f>
        <v>31596</v>
      </c>
      <c r="D77" s="117">
        <f>SUM(D73:D76)</f>
        <v>6504</v>
      </c>
      <c r="E77" s="150"/>
      <c r="G77" s="7" t="s">
        <v>90</v>
      </c>
      <c r="H77" s="3"/>
      <c r="I77" s="3"/>
      <c r="J77" s="3"/>
    </row>
    <row r="78" spans="1:15" ht="14.4" x14ac:dyDescent="0.3">
      <c r="A78" s="7" t="s">
        <v>91</v>
      </c>
      <c r="B78" s="3"/>
      <c r="C78" s="106"/>
      <c r="D78" s="3"/>
      <c r="G78" s="8" t="s">
        <v>92</v>
      </c>
      <c r="H78" s="10">
        <v>1000</v>
      </c>
      <c r="I78" s="10">
        <v>1313</v>
      </c>
      <c r="J78" s="15">
        <v>259</v>
      </c>
      <c r="O78" s="2" t="s">
        <v>87</v>
      </c>
    </row>
    <row r="79" spans="1:15" ht="14.4" x14ac:dyDescent="0.3">
      <c r="A79" s="8" t="s">
        <v>93</v>
      </c>
      <c r="B79" s="15">
        <v>69</v>
      </c>
      <c r="C79" s="109">
        <v>69</v>
      </c>
      <c r="D79" s="15">
        <v>61</v>
      </c>
      <c r="G79" s="8" t="s">
        <v>94</v>
      </c>
      <c r="H79" s="10">
        <v>-1345</v>
      </c>
      <c r="I79" s="15">
        <v>-900</v>
      </c>
      <c r="J79" s="15">
        <v>-1289</v>
      </c>
    </row>
    <row r="80" spans="1:15" ht="14.4" x14ac:dyDescent="0.3">
      <c r="A80" s="8" t="s">
        <v>95</v>
      </c>
      <c r="B80" s="10">
        <v>1304</v>
      </c>
      <c r="C80" s="103">
        <v>1304</v>
      </c>
      <c r="D80" s="15">
        <v>936</v>
      </c>
      <c r="G80" s="8" t="s">
        <v>96</v>
      </c>
      <c r="H80" s="15">
        <v>376</v>
      </c>
      <c r="I80" s="15">
        <v>2699</v>
      </c>
      <c r="J80" s="15">
        <v>235</v>
      </c>
    </row>
    <row r="81" spans="1:11" ht="14.4" x14ac:dyDescent="0.3">
      <c r="A81" s="8" t="s">
        <v>97</v>
      </c>
      <c r="B81" s="15">
        <v>0</v>
      </c>
      <c r="C81" s="109">
        <v>0</v>
      </c>
      <c r="D81" s="15">
        <v>0</v>
      </c>
      <c r="G81" s="8" t="s">
        <v>98</v>
      </c>
      <c r="H81" s="10">
        <v>-2761</v>
      </c>
      <c r="I81" s="15">
        <v>-1942</v>
      </c>
      <c r="J81" s="15">
        <v>-1647</v>
      </c>
    </row>
    <row r="82" spans="1:11" ht="14.4" x14ac:dyDescent="0.3">
      <c r="A82" s="8" t="s">
        <v>99</v>
      </c>
      <c r="B82" s="10">
        <v>18179</v>
      </c>
      <c r="C82" s="103">
        <f>B82+(2100*(1-B113))</f>
        <v>19795.935648621042</v>
      </c>
      <c r="D82" s="10">
        <v>17171</v>
      </c>
      <c r="G82" s="8" t="s">
        <v>100</v>
      </c>
      <c r="H82" s="12">
        <v>-166</v>
      </c>
      <c r="I82" s="12">
        <v>0</v>
      </c>
      <c r="J82" s="12">
        <v>0</v>
      </c>
    </row>
    <row r="83" spans="1:11" ht="14.4" x14ac:dyDescent="0.3">
      <c r="A83" s="8" t="s">
        <v>101</v>
      </c>
      <c r="B83" s="15">
        <v>-98</v>
      </c>
      <c r="C83" s="109">
        <v>-98</v>
      </c>
      <c r="D83" s="15">
        <v>68</v>
      </c>
      <c r="G83" s="13" t="s">
        <v>102</v>
      </c>
      <c r="H83" s="21">
        <f>SUM(H78:H82)</f>
        <v>-2896</v>
      </c>
      <c r="I83" s="21">
        <f>SUM(I78:I82)</f>
        <v>1170</v>
      </c>
      <c r="J83" s="21">
        <f>SUM(J78:J82)</f>
        <v>-2442</v>
      </c>
    </row>
    <row r="84" spans="1:11" ht="14.4" x14ac:dyDescent="0.3">
      <c r="A84" s="8" t="s">
        <v>103</v>
      </c>
      <c r="B84" s="118">
        <f>SUM(B79:B83)</f>
        <v>19454</v>
      </c>
      <c r="C84" s="108">
        <f>SUM(C79:C83)</f>
        <v>21070.935648621042</v>
      </c>
      <c r="D84" s="118">
        <f>SUM(D79:D83)</f>
        <v>18236</v>
      </c>
      <c r="G84" s="8" t="s">
        <v>104</v>
      </c>
      <c r="H84" s="10">
        <f>+H68+H75+H83</f>
        <v>809</v>
      </c>
      <c r="I84" s="10">
        <f>+I68+I75+I83</f>
        <v>-259</v>
      </c>
      <c r="J84" s="10">
        <f>+J68+J75+J83</f>
        <v>-324</v>
      </c>
    </row>
    <row r="85" spans="1:11" ht="14.4" x14ac:dyDescent="0.3">
      <c r="A85" s="13" t="s">
        <v>105</v>
      </c>
      <c r="B85" s="16">
        <f>+B71+B77+B84</f>
        <v>59933</v>
      </c>
      <c r="C85" s="115">
        <f>+C71+C77+C84</f>
        <v>61549.935648621045</v>
      </c>
      <c r="D85" s="74">
        <f>+D71+D77+D84</f>
        <v>33462</v>
      </c>
      <c r="G85" s="8" t="s">
        <v>106</v>
      </c>
      <c r="H85" s="10">
        <v>1297</v>
      </c>
      <c r="I85" s="10">
        <v>1556</v>
      </c>
      <c r="J85" s="10">
        <v>1880</v>
      </c>
    </row>
    <row r="86" spans="1:11" ht="14.4" x14ac:dyDescent="0.3">
      <c r="G86" s="13" t="s">
        <v>107</v>
      </c>
      <c r="H86" s="16">
        <f>+H84+H85</f>
        <v>2106</v>
      </c>
      <c r="I86" s="16">
        <f>+I84+I85</f>
        <v>1297</v>
      </c>
      <c r="J86" s="16">
        <f>+J84+J85</f>
        <v>1556</v>
      </c>
    </row>
    <row r="87" spans="1:11" ht="18" x14ac:dyDescent="0.25">
      <c r="A87" s="101"/>
      <c r="B87" s="64"/>
      <c r="C87" s="64"/>
      <c r="D87" s="64"/>
    </row>
    <row r="88" spans="1:11" ht="13.2" x14ac:dyDescent="0.25">
      <c r="B88" s="46"/>
      <c r="C88" s="46"/>
    </row>
    <row r="89" spans="1:11" ht="13.2" x14ac:dyDescent="0.25"/>
    <row r="90" spans="1:11" ht="13.2" x14ac:dyDescent="0.25"/>
    <row r="91" spans="1:11" ht="13.2" x14ac:dyDescent="0.25"/>
    <row r="93" spans="1:11" ht="15.75" customHeight="1" x14ac:dyDescent="0.25">
      <c r="H93" s="81"/>
    </row>
    <row r="94" spans="1:11" ht="18" x14ac:dyDescent="0.35">
      <c r="A94" s="160" t="s">
        <v>41</v>
      </c>
      <c r="B94" s="162"/>
      <c r="C94" s="162"/>
      <c r="D94" s="162"/>
      <c r="E94" s="162"/>
      <c r="F94" s="150"/>
      <c r="K94" s="1" t="s">
        <v>108</v>
      </c>
    </row>
    <row r="95" spans="1:11" ht="18" x14ac:dyDescent="0.35">
      <c r="A95" s="160" t="s">
        <v>109</v>
      </c>
      <c r="B95" s="162"/>
      <c r="C95" s="162"/>
      <c r="D95" s="162"/>
      <c r="E95" s="162"/>
      <c r="K95" s="82" t="s">
        <v>110</v>
      </c>
    </row>
    <row r="96" spans="1:11" ht="28.8" x14ac:dyDescent="0.35">
      <c r="A96" s="160" t="s">
        <v>45</v>
      </c>
      <c r="B96" s="162"/>
      <c r="C96" s="162"/>
      <c r="D96" s="162"/>
      <c r="E96" s="162"/>
      <c r="F96" s="150"/>
      <c r="G96" s="30"/>
      <c r="H96" s="31"/>
      <c r="I96" s="32" t="s">
        <v>111</v>
      </c>
      <c r="J96" s="33" t="s">
        <v>108</v>
      </c>
      <c r="K96" s="44">
        <v>0.05</v>
      </c>
    </row>
    <row r="97" spans="1:12" ht="14.4" x14ac:dyDescent="0.25">
      <c r="B97" s="3"/>
      <c r="C97" s="157">
        <f>+C51</f>
        <v>45291</v>
      </c>
      <c r="D97" s="3"/>
      <c r="E97" s="3"/>
      <c r="G97" s="83">
        <f>+B51+365</f>
        <v>45656</v>
      </c>
      <c r="H97" s="31"/>
      <c r="I97" s="35">
        <v>19</v>
      </c>
      <c r="J97" s="36">
        <v>2536</v>
      </c>
      <c r="K97" s="45">
        <f>(J97/(1+$K$96)^L97)</f>
        <v>2415.238095238095</v>
      </c>
      <c r="L97">
        <v>1</v>
      </c>
    </row>
    <row r="98" spans="1:12" ht="14.4" x14ac:dyDescent="0.25">
      <c r="A98" s="4" t="s">
        <v>46</v>
      </c>
      <c r="B98" s="77">
        <f>+B51</f>
        <v>45291</v>
      </c>
      <c r="C98" s="158"/>
      <c r="D98" s="77">
        <f>+D5</f>
        <v>44926</v>
      </c>
      <c r="E98" s="77">
        <f>+E5</f>
        <v>44560</v>
      </c>
      <c r="G98" s="83">
        <f>+G97+366</f>
        <v>46022</v>
      </c>
      <c r="H98" s="31"/>
      <c r="I98" s="38">
        <v>19</v>
      </c>
      <c r="J98" s="39">
        <v>2514</v>
      </c>
      <c r="K98" s="45">
        <f t="shared" ref="K98:K101" si="12">(J98/(1+$K$96)^L98)</f>
        <v>2280.2721088435374</v>
      </c>
      <c r="L98">
        <v>2</v>
      </c>
    </row>
    <row r="99" spans="1:12" ht="14.4" x14ac:dyDescent="0.3">
      <c r="A99" s="8" t="s">
        <v>112</v>
      </c>
      <c r="B99" s="9">
        <v>95463</v>
      </c>
      <c r="C99" s="102">
        <f>B99</f>
        <v>95463</v>
      </c>
      <c r="D99" s="9">
        <v>83012</v>
      </c>
      <c r="E99" s="9">
        <v>72184</v>
      </c>
      <c r="F99" s="145"/>
      <c r="G99" s="83">
        <f>+G98+365</f>
        <v>46387</v>
      </c>
      <c r="H99" s="31"/>
      <c r="I99" s="38">
        <v>18</v>
      </c>
      <c r="J99" s="39">
        <v>2464</v>
      </c>
      <c r="K99" s="45">
        <f t="shared" si="12"/>
        <v>2128.4958427815568</v>
      </c>
      <c r="L99">
        <v>3</v>
      </c>
    </row>
    <row r="100" spans="1:12" ht="14.4" x14ac:dyDescent="0.3">
      <c r="A100" s="8" t="s">
        <v>113</v>
      </c>
      <c r="B100" s="118">
        <v>70344</v>
      </c>
      <c r="C100" s="108">
        <f>B100-(2100-1900)</f>
        <v>70144</v>
      </c>
      <c r="D100" s="118">
        <v>59670</v>
      </c>
      <c r="E100" s="118">
        <v>51692</v>
      </c>
      <c r="F100" s="150"/>
      <c r="G100" s="83">
        <f>+G99+365</f>
        <v>46752</v>
      </c>
      <c r="H100" s="31"/>
      <c r="I100" s="38">
        <v>17</v>
      </c>
      <c r="J100" s="39">
        <v>2389</v>
      </c>
      <c r="K100" s="45">
        <f t="shared" si="12"/>
        <v>1965.4362122778061</v>
      </c>
      <c r="L100">
        <v>4</v>
      </c>
    </row>
    <row r="101" spans="1:12" ht="14.4" x14ac:dyDescent="0.3">
      <c r="A101" s="13" t="s">
        <v>114</v>
      </c>
      <c r="B101" s="21">
        <f>+B99-B100</f>
        <v>25119</v>
      </c>
      <c r="C101" s="111">
        <f>+C99-C100</f>
        <v>25319</v>
      </c>
      <c r="D101" s="21">
        <f>+D99-D100</f>
        <v>23342</v>
      </c>
      <c r="E101" s="21">
        <f>+E99-E100</f>
        <v>20492</v>
      </c>
      <c r="G101" s="83">
        <f>+G100+365</f>
        <v>47117</v>
      </c>
      <c r="H101" s="31"/>
      <c r="I101" s="38">
        <v>15</v>
      </c>
      <c r="J101" s="39">
        <v>2292</v>
      </c>
      <c r="K101" s="45">
        <f t="shared" si="12"/>
        <v>1795.841973545708</v>
      </c>
      <c r="L101">
        <v>5</v>
      </c>
    </row>
    <row r="102" spans="1:12" ht="14.4" x14ac:dyDescent="0.25">
      <c r="A102" s="20"/>
      <c r="B102" s="3"/>
      <c r="C102" s="106"/>
      <c r="D102" s="3"/>
      <c r="E102" s="3"/>
      <c r="G102" s="55" t="s">
        <v>115</v>
      </c>
      <c r="H102" s="31"/>
      <c r="I102" s="40">
        <v>270</v>
      </c>
      <c r="J102" s="41">
        <v>23507</v>
      </c>
      <c r="K102" s="31"/>
    </row>
    <row r="103" spans="1:12" ht="14.4" x14ac:dyDescent="0.3">
      <c r="A103" s="8" t="s">
        <v>116</v>
      </c>
      <c r="B103" s="10">
        <v>20543</v>
      </c>
      <c r="C103" s="103">
        <f>B103</f>
        <v>20543</v>
      </c>
      <c r="D103" s="10">
        <v>18178</v>
      </c>
      <c r="E103" s="10">
        <f>16561+280</f>
        <v>16841</v>
      </c>
      <c r="F103" s="145"/>
      <c r="G103" s="161" t="s">
        <v>117</v>
      </c>
      <c r="H103" s="161"/>
      <c r="I103" s="42">
        <v>358</v>
      </c>
      <c r="J103" s="43">
        <v>35702</v>
      </c>
      <c r="K103" s="37"/>
      <c r="L103" s="34"/>
    </row>
    <row r="104" spans="1:12" ht="14.4" x14ac:dyDescent="0.3">
      <c r="A104" s="8" t="s">
        <v>118</v>
      </c>
      <c r="B104" s="15">
        <v>344</v>
      </c>
      <c r="C104" s="109">
        <f>B104</f>
        <v>344</v>
      </c>
      <c r="D104" s="15">
        <v>300</v>
      </c>
      <c r="E104" s="15">
        <v>280</v>
      </c>
      <c r="F104" s="145"/>
      <c r="J104">
        <f>+J102/J101</f>
        <v>10.256108202443281</v>
      </c>
      <c r="K104" s="23"/>
    </row>
    <row r="105" spans="1:12" ht="14.4" x14ac:dyDescent="0.3">
      <c r="A105" s="8"/>
      <c r="B105" s="12"/>
      <c r="C105" s="104"/>
      <c r="D105" s="12"/>
      <c r="E105" s="12"/>
      <c r="G105" s="84">
        <f>+G101+366</f>
        <v>47483</v>
      </c>
      <c r="J105" s="23">
        <f>+$J$101</f>
        <v>2292</v>
      </c>
      <c r="K105" s="45">
        <f t="shared" ref="K105:K114" si="13">(J105/(1+$K$96)^L105)</f>
        <v>1710.3256890911507</v>
      </c>
      <c r="L105">
        <v>6</v>
      </c>
    </row>
    <row r="106" spans="1:12" ht="14.4" x14ac:dyDescent="0.25">
      <c r="A106" s="13" t="s">
        <v>119</v>
      </c>
      <c r="B106" s="22">
        <f>+B101-B103+B104+B105</f>
        <v>4920</v>
      </c>
      <c r="C106" s="112">
        <f>+C101-C103+C104+C105</f>
        <v>5120</v>
      </c>
      <c r="D106" s="22">
        <f>+D101-D103+D104+D105</f>
        <v>5464</v>
      </c>
      <c r="E106" s="22">
        <f>+E101-E103+E104+E105</f>
        <v>3931</v>
      </c>
      <c r="G106" s="84">
        <f>+G105+365</f>
        <v>47848</v>
      </c>
      <c r="J106" s="23">
        <f t="shared" ref="J106:J114" si="14">+$J$101</f>
        <v>2292</v>
      </c>
      <c r="K106" s="45">
        <f t="shared" si="13"/>
        <v>1628.8816086582383</v>
      </c>
      <c r="L106">
        <v>7</v>
      </c>
    </row>
    <row r="107" spans="1:12" ht="14.4" x14ac:dyDescent="0.3">
      <c r="A107" s="8" t="s">
        <v>120</v>
      </c>
      <c r="B107" s="87">
        <v>20</v>
      </c>
      <c r="C107" s="103">
        <f>B107</f>
        <v>20</v>
      </c>
      <c r="D107" s="87">
        <v>0</v>
      </c>
      <c r="E107" s="87">
        <v>434</v>
      </c>
      <c r="G107" s="84">
        <f t="shared" ref="G107:G112" si="15">+G106+365</f>
        <v>48213</v>
      </c>
      <c r="J107" s="23">
        <f t="shared" si="14"/>
        <v>2292</v>
      </c>
      <c r="K107" s="45">
        <f t="shared" si="13"/>
        <v>1551.315817769751</v>
      </c>
      <c r="L107">
        <v>8</v>
      </c>
    </row>
    <row r="108" spans="1:12" ht="14.4" x14ac:dyDescent="0.3">
      <c r="A108" s="8" t="s">
        <v>121</v>
      </c>
      <c r="B108" s="89">
        <v>-165</v>
      </c>
      <c r="C108" s="113">
        <f>B108</f>
        <v>-165</v>
      </c>
      <c r="D108" s="89">
        <v>-88</v>
      </c>
      <c r="E108" s="89">
        <v>-71</v>
      </c>
      <c r="G108" s="84">
        <f t="shared" si="15"/>
        <v>48578</v>
      </c>
      <c r="J108" s="23">
        <f t="shared" si="14"/>
        <v>2292</v>
      </c>
      <c r="K108" s="45">
        <f t="shared" si="13"/>
        <v>1477.4436359711913</v>
      </c>
      <c r="L108">
        <v>9</v>
      </c>
    </row>
    <row r="109" spans="1:12" ht="14.4" x14ac:dyDescent="0.3">
      <c r="A109" s="8" t="s">
        <v>122</v>
      </c>
      <c r="B109" s="12">
        <v>120</v>
      </c>
      <c r="C109" s="104">
        <f>B109</f>
        <v>120</v>
      </c>
      <c r="D109" s="12">
        <v>0</v>
      </c>
      <c r="E109" s="12">
        <v>0</v>
      </c>
      <c r="G109" s="84">
        <f>+G108+366</f>
        <v>48944</v>
      </c>
      <c r="J109" s="23">
        <f t="shared" si="14"/>
        <v>2292</v>
      </c>
      <c r="K109" s="45">
        <f t="shared" si="13"/>
        <v>1407.0891771154204</v>
      </c>
      <c r="L109">
        <v>10</v>
      </c>
    </row>
    <row r="110" spans="1:12" ht="14.4" x14ac:dyDescent="0.3">
      <c r="A110" s="13" t="s">
        <v>123</v>
      </c>
      <c r="B110" s="21">
        <f>+B106+B107+B108+B109</f>
        <v>4895</v>
      </c>
      <c r="C110" s="111">
        <f>+C106+C107+C108+C109</f>
        <v>5095</v>
      </c>
      <c r="D110" s="21">
        <f>+D106+D107+D108+D109</f>
        <v>5376</v>
      </c>
      <c r="E110" s="21">
        <f>+E106+E107+E108+E109</f>
        <v>4294</v>
      </c>
      <c r="G110" s="84">
        <f t="shared" si="15"/>
        <v>49309</v>
      </c>
      <c r="J110" s="23">
        <f t="shared" si="14"/>
        <v>2292</v>
      </c>
      <c r="K110" s="45">
        <f t="shared" si="13"/>
        <v>1340.0849305861145</v>
      </c>
      <c r="L110">
        <f>1+L109</f>
        <v>11</v>
      </c>
    </row>
    <row r="111" spans="1:12" ht="14.4" x14ac:dyDescent="0.25">
      <c r="A111" s="20"/>
      <c r="B111" s="3"/>
      <c r="C111" s="106"/>
      <c r="D111" s="3"/>
      <c r="E111" s="3"/>
      <c r="G111" s="84">
        <f t="shared" si="15"/>
        <v>49674</v>
      </c>
      <c r="J111" s="23">
        <f t="shared" si="14"/>
        <v>2292</v>
      </c>
      <c r="K111" s="45">
        <f t="shared" si="13"/>
        <v>1276.2713624629664</v>
      </c>
      <c r="L111">
        <f>1+L110</f>
        <v>12</v>
      </c>
    </row>
    <row r="112" spans="1:12" ht="14.4" x14ac:dyDescent="0.3">
      <c r="A112" s="8" t="s">
        <v>124</v>
      </c>
      <c r="B112" s="118">
        <v>1126</v>
      </c>
      <c r="C112" s="108">
        <f>B112+((2100-1900)*B113)</f>
        <v>1172.0061287027579</v>
      </c>
      <c r="D112" s="118">
        <v>1129</v>
      </c>
      <c r="E112" s="118">
        <v>859</v>
      </c>
      <c r="F112" s="23"/>
      <c r="G112" s="84">
        <f t="shared" si="15"/>
        <v>50039</v>
      </c>
      <c r="J112" s="23">
        <f t="shared" si="14"/>
        <v>2292</v>
      </c>
      <c r="K112" s="45">
        <f t="shared" si="13"/>
        <v>1215.4965356790153</v>
      </c>
      <c r="L112">
        <f>1+L111</f>
        <v>13</v>
      </c>
    </row>
    <row r="113" spans="1:12" ht="14.4" x14ac:dyDescent="0.25">
      <c r="A113" s="20"/>
      <c r="B113" s="90">
        <f>+B112/B110</f>
        <v>0.23003064351378957</v>
      </c>
      <c r="C113" s="114">
        <f>+C112/C110</f>
        <v>0.23003064351378957</v>
      </c>
      <c r="D113" s="90">
        <f t="shared" ref="D113:E113" si="16">+D112/D110</f>
        <v>0.21000744047619047</v>
      </c>
      <c r="E113" s="90">
        <f t="shared" si="16"/>
        <v>0.2000465766185375</v>
      </c>
      <c r="F113" s="145"/>
      <c r="G113" s="84">
        <f>+G112+366</f>
        <v>50405</v>
      </c>
      <c r="J113" s="23">
        <f t="shared" si="14"/>
        <v>2292</v>
      </c>
      <c r="K113" s="45">
        <f t="shared" si="13"/>
        <v>1157.6157482657293</v>
      </c>
      <c r="L113">
        <f>1+L112</f>
        <v>14</v>
      </c>
    </row>
    <row r="114" spans="1:12" ht="14.4" x14ac:dyDescent="0.3">
      <c r="A114" s="13" t="s">
        <v>125</v>
      </c>
      <c r="B114" s="117">
        <f>+B110-B112</f>
        <v>3769</v>
      </c>
      <c r="C114" s="105">
        <f>+C110-C112</f>
        <v>3922.9938712972421</v>
      </c>
      <c r="D114" s="117">
        <f>+D110-D112</f>
        <v>4247</v>
      </c>
      <c r="E114" s="117">
        <f>+E110-E112</f>
        <v>3435</v>
      </c>
      <c r="F114" s="145"/>
      <c r="G114" s="84">
        <f>+G113+365</f>
        <v>50770</v>
      </c>
      <c r="J114" s="23">
        <f t="shared" si="14"/>
        <v>2292</v>
      </c>
      <c r="K114" s="45">
        <f t="shared" si="13"/>
        <v>1102.4911888245038</v>
      </c>
      <c r="L114">
        <f>1+L113</f>
        <v>15</v>
      </c>
    </row>
    <row r="115" spans="1:12" ht="14.4" x14ac:dyDescent="0.25">
      <c r="A115" s="3"/>
      <c r="B115" s="28"/>
      <c r="C115" s="28"/>
      <c r="D115" s="28"/>
      <c r="E115" s="2"/>
      <c r="J115" s="23"/>
      <c r="K115" s="53">
        <f>SUM(K97:K114)</f>
        <v>24452.299927110784</v>
      </c>
    </row>
    <row r="116" spans="1:12" ht="13.2" x14ac:dyDescent="0.25">
      <c r="A116" s="3"/>
      <c r="B116" s="120"/>
      <c r="C116" s="120"/>
      <c r="D116" s="120"/>
      <c r="E116" s="11"/>
      <c r="F116" s="145"/>
      <c r="K116" s="34"/>
    </row>
    <row r="117" spans="1:12" ht="15.75" customHeight="1" x14ac:dyDescent="0.25">
      <c r="A117" s="47" t="s">
        <v>126</v>
      </c>
      <c r="B117" s="48">
        <f>B106+H54+H58</f>
        <v>5678</v>
      </c>
      <c r="C117" s="48">
        <f>C106+I54+H58</f>
        <v>5684</v>
      </c>
      <c r="D117" s="48">
        <f>D106+J54+I58</f>
        <v>5932</v>
      </c>
      <c r="E117" s="48">
        <f>E106+K54+J58</f>
        <v>3651</v>
      </c>
    </row>
    <row r="118" spans="1:12" ht="15.75" customHeight="1" x14ac:dyDescent="0.25">
      <c r="A118" s="49" t="s">
        <v>127</v>
      </c>
      <c r="B118" s="50">
        <f>B114+(-B108)+B112+H54+H58</f>
        <v>5818</v>
      </c>
      <c r="C118" s="50">
        <f>C114+(-C108)+C112+H54+H58</f>
        <v>6018</v>
      </c>
      <c r="D118" s="50">
        <f t="shared" ref="D118:E118" si="17">D114+(-D108)+D112+I54+I58</f>
        <v>6072</v>
      </c>
      <c r="E118" s="50">
        <f t="shared" si="17"/>
        <v>4853</v>
      </c>
      <c r="F118" s="92"/>
    </row>
    <row r="119" spans="1:12" ht="15.75" customHeight="1" x14ac:dyDescent="0.25">
      <c r="A119" s="51" t="s">
        <v>128</v>
      </c>
      <c r="B119" s="52">
        <f>B106*(1-B113)</f>
        <v>3788.2492339121554</v>
      </c>
      <c r="C119" s="52">
        <f t="shared" ref="C119:E119" si="18">C106*(1-C113)</f>
        <v>3942.2431052093975</v>
      </c>
      <c r="D119" s="52">
        <f t="shared" si="18"/>
        <v>4316.5193452380954</v>
      </c>
      <c r="E119" s="52">
        <f t="shared" si="18"/>
        <v>3144.6169073125288</v>
      </c>
    </row>
    <row r="124" spans="1:12" ht="18" customHeight="1" x14ac:dyDescent="0.35">
      <c r="A124" s="98"/>
    </row>
    <row r="125" spans="1:12" ht="21" customHeight="1" x14ac:dyDescent="0.35">
      <c r="A125" s="98"/>
    </row>
    <row r="126" spans="1:12" ht="21" customHeight="1" x14ac:dyDescent="0.35">
      <c r="A126" s="98"/>
    </row>
    <row r="127" spans="1:12" ht="16.5" customHeight="1" x14ac:dyDescent="0.35">
      <c r="A127" s="99"/>
    </row>
    <row r="128" spans="1:12" ht="17.25" customHeight="1" x14ac:dyDescent="0.35">
      <c r="A128" s="98"/>
    </row>
    <row r="129" spans="1:1" ht="18.75" customHeight="1" x14ac:dyDescent="0.35">
      <c r="A129" s="99"/>
    </row>
    <row r="130" spans="1:1" ht="22.5" customHeight="1" x14ac:dyDescent="0.55000000000000004">
      <c r="A130" s="100"/>
    </row>
    <row r="131" spans="1:1" ht="18.75" customHeight="1" x14ac:dyDescent="0.35">
      <c r="A131" s="98"/>
    </row>
    <row r="132" spans="1:1" ht="16.5" customHeight="1" x14ac:dyDescent="0.35">
      <c r="A132" s="98"/>
    </row>
    <row r="133" spans="1:1" ht="15.75" customHeight="1" x14ac:dyDescent="0.35">
      <c r="A133" s="98"/>
    </row>
    <row r="134" spans="1:1" ht="15.75" customHeight="1" x14ac:dyDescent="0.35">
      <c r="A134" s="99"/>
    </row>
  </sheetData>
  <mergeCells count="19">
    <mergeCell ref="G103:H103"/>
    <mergeCell ref="A94:E94"/>
    <mergeCell ref="A95:E95"/>
    <mergeCell ref="A96:E96"/>
    <mergeCell ref="A47:E47"/>
    <mergeCell ref="G47:J47"/>
    <mergeCell ref="A48:E48"/>
    <mergeCell ref="G48:J48"/>
    <mergeCell ref="A49:E49"/>
    <mergeCell ref="G49:J49"/>
    <mergeCell ref="G50:J50"/>
    <mergeCell ref="E50:E51"/>
    <mergeCell ref="H5:I5"/>
    <mergeCell ref="H6:I6"/>
    <mergeCell ref="C97:C98"/>
    <mergeCell ref="A2:F2"/>
    <mergeCell ref="A3:E3"/>
    <mergeCell ref="H17:I17"/>
    <mergeCell ref="H11:J11"/>
  </mergeCells>
  <pageMargins left="0.25" right="0.25" top="0.75" bottom="0.75" header="0.3" footer="0.3"/>
  <pageSetup orientation="portrait" r:id="rId1"/>
  <ignoredErrors>
    <ignoredError sqref="G109 G11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e75747-f923-409b-8234-bc17774245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83F81E34F874886575D487B91FAEC" ma:contentTypeVersion="6" ma:contentTypeDescription="Create a new document." ma:contentTypeScope="" ma:versionID="d72d7ab8bc4d5e5fdb990d52c271a371">
  <xsd:schema xmlns:xsd="http://www.w3.org/2001/XMLSchema" xmlns:xs="http://www.w3.org/2001/XMLSchema" xmlns:p="http://schemas.microsoft.com/office/2006/metadata/properties" xmlns:ns3="4fe75747-f923-409b-8234-bc177742456e" targetNamespace="http://schemas.microsoft.com/office/2006/metadata/properties" ma:root="true" ma:fieldsID="55e3df71c80b5fa16045b6e8a0730dc3" ns3:_="">
    <xsd:import namespace="4fe75747-f923-409b-8234-bc17774245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75747-f923-409b-8234-bc17774245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5F9D99-EA95-4927-8D1B-81DC3CF427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2A7AAA-1F56-40D0-9374-B3601F9D0526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4fe75747-f923-409b-8234-bc177742456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A54DF1B-696A-4834-BA35-8C4330531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e75747-f923-409b-8234-bc1777424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BluVet Ratios</vt:lpstr>
      <vt:lpstr>'BluVet Ratios'!Print_Area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Punit Alagappan Kasi</cp:lastModifiedBy>
  <cp:revision/>
  <dcterms:created xsi:type="dcterms:W3CDTF">2020-05-12T21:28:23Z</dcterms:created>
  <dcterms:modified xsi:type="dcterms:W3CDTF">2026-04-02T21:30:13Z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0x01010061A83F81E34F874886575D487B91FAEC</vt:lpwstr>
  </property>
</Properties>
</file>