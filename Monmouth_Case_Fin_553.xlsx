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https://depauledu-my.sharepoint.com/personal/jkolath_depaul_edu/Documents/"/>
    </mc:Choice>
  </mc:AlternateContent>
  <xr:revisionPtr revIDLastSave="0" documentId="8_{84A7408A-13F6-6844-874D-5E26357FFFDD}" xr6:coauthVersionLast="47" xr6:coauthVersionMax="47" xr10:uidLastSave="{00000000-0000-0000-0000-000000000000}"/>
  <bookViews>
    <workbookView xWindow="0" yWindow="760" windowWidth="29400" windowHeight="17360" activeTab="3" xr2:uid="{00000000-000D-0000-FFFF-FFFF00000000}"/>
  </bookViews>
  <sheets>
    <sheet name="Assumptions" sheetId="1" r:id="rId1"/>
    <sheet name="FCF" sheetId="7" r:id="rId2"/>
    <sheet name="Sensitivity" sheetId="5" r:id="rId3"/>
    <sheet name="Price Recommendation" sheetId="4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2" i="7" l="1"/>
  <c r="V18" i="7"/>
  <c r="I35" i="7"/>
  <c r="S16" i="7"/>
  <c r="Q12" i="7"/>
  <c r="R11" i="7"/>
  <c r="Q11" i="7"/>
  <c r="B21" i="4"/>
  <c r="B10" i="4"/>
  <c r="B11" i="4" s="1"/>
  <c r="B4" i="4"/>
  <c r="V24" i="7"/>
  <c r="B5" i="4"/>
  <c r="T16" i="7"/>
  <c r="T17" i="7"/>
  <c r="H2" i="7"/>
  <c r="V11" i="7"/>
  <c r="B18" i="4"/>
  <c r="B17" i="4"/>
  <c r="B16" i="4"/>
  <c r="B18" i="5"/>
  <c r="B17" i="5"/>
  <c r="D18" i="5"/>
  <c r="B13" i="4" l="1"/>
  <c r="B12" i="4"/>
  <c r="F4" i="5" l="1"/>
  <c r="G10" i="7"/>
  <c r="H10" i="7" s="1"/>
  <c r="I10" i="7" s="1"/>
  <c r="O10" i="7" s="1"/>
  <c r="J10" i="7"/>
  <c r="V10" i="7"/>
  <c r="G11" i="7"/>
  <c r="H11" i="7" s="1"/>
  <c r="J11" i="7"/>
  <c r="U11" i="7"/>
  <c r="G12" i="7"/>
  <c r="H12" i="7"/>
  <c r="I12" i="7"/>
  <c r="J12" i="7"/>
  <c r="O12" i="7"/>
  <c r="R12" i="7"/>
  <c r="U12" i="7"/>
  <c r="G13" i="7"/>
  <c r="I13" i="7" s="1"/>
  <c r="O13" i="7" s="1"/>
  <c r="H13" i="7"/>
  <c r="J13" i="7"/>
  <c r="Q13" i="7"/>
  <c r="U13" i="7"/>
  <c r="G14" i="7"/>
  <c r="H14" i="7" s="1"/>
  <c r="J14" i="7"/>
  <c r="Q14" i="7"/>
  <c r="R14" i="7"/>
  <c r="U14" i="7"/>
  <c r="G15" i="7"/>
  <c r="H15" i="7"/>
  <c r="I15" i="7"/>
  <c r="O15" i="7" s="1"/>
  <c r="S15" i="7" s="1"/>
  <c r="J15" i="7"/>
  <c r="Q15" i="7"/>
  <c r="U15" i="7"/>
  <c r="I25" i="7"/>
  <c r="I29" i="7" s="1"/>
  <c r="I32" i="7" s="1"/>
  <c r="I28" i="7"/>
  <c r="S12" i="7" l="1"/>
  <c r="T15" i="7"/>
  <c r="V15" i="7"/>
  <c r="R13" i="7"/>
  <c r="S13" i="7" s="1"/>
  <c r="I14" i="7"/>
  <c r="O14" i="7" s="1"/>
  <c r="S14" i="7" s="1"/>
  <c r="I11" i="7"/>
  <c r="O11" i="7" s="1"/>
  <c r="S11" i="7" s="1"/>
  <c r="T13" i="7" l="1"/>
  <c r="V13" i="7"/>
  <c r="T14" i="7"/>
  <c r="V14" i="7"/>
  <c r="V16" i="7"/>
  <c r="T11" i="7"/>
  <c r="V12" i="7"/>
  <c r="T12" i="7"/>
  <c r="V20" i="7" l="1"/>
  <c r="B6" i="4" s="1"/>
  <c r="B29" i="5" l="1"/>
  <c r="B30" i="5" s="1"/>
  <c r="B31" i="5" s="1"/>
  <c r="C19" i="5"/>
  <c r="C20" i="5" s="1"/>
  <c r="C21" i="5" s="1"/>
  <c r="B19" i="5"/>
  <c r="B20" i="5" s="1"/>
  <c r="B21" i="5" s="1"/>
  <c r="D19" i="5"/>
  <c r="D17" i="5" s="1"/>
  <c r="G29" i="5"/>
  <c r="G30" i="5" s="1"/>
  <c r="G31" i="5" s="1"/>
  <c r="F29" i="5"/>
  <c r="F28" i="5" s="1"/>
  <c r="F27" i="5" s="1"/>
  <c r="E29" i="5"/>
  <c r="E30" i="5" s="1"/>
  <c r="E31" i="5" s="1"/>
  <c r="D29" i="5"/>
  <c r="D28" i="5" s="1"/>
  <c r="D27" i="5" s="1"/>
  <c r="C29" i="5"/>
  <c r="C28" i="5" s="1"/>
  <c r="C27" i="5" s="1"/>
  <c r="G19" i="5"/>
  <c r="G18" i="5" s="1"/>
  <c r="G17" i="5" s="1"/>
  <c r="F19" i="5"/>
  <c r="F18" i="5" s="1"/>
  <c r="F17" i="5" s="1"/>
  <c r="E19" i="5"/>
  <c r="E20" i="5" s="1"/>
  <c r="E21" i="5" s="1"/>
  <c r="C30" i="5" l="1"/>
  <c r="C31" i="5" s="1"/>
  <c r="E28" i="5"/>
  <c r="E27" i="5" s="1"/>
  <c r="D30" i="5"/>
  <c r="D31" i="5" s="1"/>
  <c r="B28" i="5"/>
  <c r="B27" i="5" s="1"/>
  <c r="F20" i="5"/>
  <c r="F21" i="5" s="1"/>
  <c r="G20" i="5"/>
  <c r="G21" i="5" s="1"/>
  <c r="C18" i="5"/>
  <c r="C17" i="5" s="1"/>
  <c r="E18" i="5"/>
  <c r="E17" i="5" s="1"/>
  <c r="D20" i="5"/>
  <c r="D21" i="5" s="1"/>
  <c r="F30" i="5"/>
  <c r="F31" i="5" s="1"/>
  <c r="G28" i="5"/>
  <c r="G27" i="5" s="1"/>
  <c r="B54" i="1" l="1"/>
  <c r="B55" i="1"/>
  <c r="B53" i="1"/>
</calcChain>
</file>

<file path=xl/sharedStrings.xml><?xml version="1.0" encoding="utf-8"?>
<sst xmlns="http://schemas.openxmlformats.org/spreadsheetml/2006/main" count="200" uniqueCount="144">
  <si>
    <t>Monmouth-Robertson Acquisition Analysis</t>
  </si>
  <si>
    <t>Key Assumptions</t>
  </si>
  <si>
    <t>Historical Data (Robertson Tool Company)</t>
  </si>
  <si>
    <t>Year</t>
  </si>
  <si>
    <t>Sales ($ millions)</t>
  </si>
  <si>
    <t>COGS ($ millions)</t>
  </si>
  <si>
    <t>SG&amp;A ($ millions)</t>
  </si>
  <si>
    <t>Depreciation ($ millions)</t>
  </si>
  <si>
    <t>Interest Expense ($ millions)</t>
  </si>
  <si>
    <t>Balance Sheet Data (2002) ($ millions)</t>
  </si>
  <si>
    <t xml:space="preserve">Cash </t>
  </si>
  <si>
    <t xml:space="preserve">Accounts Receivable </t>
  </si>
  <si>
    <t xml:space="preserve">Inventories </t>
  </si>
  <si>
    <t xml:space="preserve">Other Current Assets </t>
  </si>
  <si>
    <t xml:space="preserve">Current Assets </t>
  </si>
  <si>
    <t xml:space="preserve">Net Plant and Equipment </t>
  </si>
  <si>
    <t xml:space="preserve">Total Assets </t>
  </si>
  <si>
    <t xml:space="preserve">Accounts Payable </t>
  </si>
  <si>
    <t>Other Current Liabilities</t>
  </si>
  <si>
    <t xml:space="preserve">Current Liabilities </t>
  </si>
  <si>
    <t xml:space="preserve">Long-term Debt </t>
  </si>
  <si>
    <t xml:space="preserve">Net Worth </t>
  </si>
  <si>
    <t>Financial Ratios</t>
  </si>
  <si>
    <t>Collection Period (days)</t>
  </si>
  <si>
    <t>Days of Inventory</t>
  </si>
  <si>
    <t>Sales/Total Assets</t>
  </si>
  <si>
    <t>Debt Capital</t>
  </si>
  <si>
    <t>28%</t>
  </si>
  <si>
    <t>Total Assets/Net Worth</t>
  </si>
  <si>
    <t>Pro-forma Projections ($ millions)</t>
  </si>
  <si>
    <t xml:space="preserve">Sales </t>
  </si>
  <si>
    <t>COGS</t>
  </si>
  <si>
    <t xml:space="preserve">SG&amp;A </t>
  </si>
  <si>
    <t xml:space="preserve">Depreciation </t>
  </si>
  <si>
    <t xml:space="preserve">EBIT </t>
  </si>
  <si>
    <t xml:space="preserve">Tax @ 40% </t>
  </si>
  <si>
    <t>Capital Market Information</t>
  </si>
  <si>
    <t>30-Year U.S. Treasury Bonds</t>
  </si>
  <si>
    <t>4.10%</t>
  </si>
  <si>
    <t>U.S. Corporate Bonds Rated AA</t>
  </si>
  <si>
    <t>4.52%</t>
  </si>
  <si>
    <t>U.S. Corporate Bonds Rated A</t>
  </si>
  <si>
    <t>5.07%</t>
  </si>
  <si>
    <t>U.S. Corporate Bonds Rated BBB</t>
  </si>
  <si>
    <t>6.07%</t>
  </si>
  <si>
    <t>U.S. Corporate Bonds Rated BB</t>
  </si>
  <si>
    <t>7.96%</t>
  </si>
  <si>
    <t>Market Risk Premium</t>
  </si>
  <si>
    <t>6.00%</t>
  </si>
  <si>
    <t>Valuation Parameters</t>
  </si>
  <si>
    <t>Asset Beta</t>
  </si>
  <si>
    <t>Equity Beta</t>
  </si>
  <si>
    <t>Cost of Equity</t>
  </si>
  <si>
    <t>Cost of Debt</t>
  </si>
  <si>
    <t>Tax Rate</t>
  </si>
  <si>
    <t>WACC</t>
  </si>
  <si>
    <t>Terminal Growth Rate</t>
  </si>
  <si>
    <t>Shares Outstanding</t>
  </si>
  <si>
    <t>Free Cash Flow Model</t>
  </si>
  <si>
    <t>Sales</t>
  </si>
  <si>
    <t>SG&amp;A</t>
  </si>
  <si>
    <t>Depreciation</t>
  </si>
  <si>
    <t>EBIT</t>
  </si>
  <si>
    <t>Taxes on EBIT</t>
  </si>
  <si>
    <t>EBIAT</t>
  </si>
  <si>
    <t>CapEx</t>
  </si>
  <si>
    <t>AR</t>
  </si>
  <si>
    <t>Inventory</t>
  </si>
  <si>
    <t>AP</t>
  </si>
  <si>
    <t>NWC</t>
  </si>
  <si>
    <t>ΔNWC</t>
  </si>
  <si>
    <t>Free Cash Flow</t>
  </si>
  <si>
    <t>Discount Factor</t>
  </si>
  <si>
    <t>Terminal Value</t>
  </si>
  <si>
    <t xml:space="preserve">Add: Cash </t>
  </si>
  <si>
    <t xml:space="preserve">Equity Value </t>
  </si>
  <si>
    <t>O/s Shares</t>
  </si>
  <si>
    <t xml:space="preserve">Value per Share </t>
  </si>
  <si>
    <t>Price Recommendation</t>
  </si>
  <si>
    <t>DCF Valuation Results</t>
  </si>
  <si>
    <t>Enterprise Value ($ millions)</t>
  </si>
  <si>
    <t>Equity Value ($ millions)</t>
  </si>
  <si>
    <t>Price per Share (DCF)</t>
  </si>
  <si>
    <t>EBIAT Multiple Valuation</t>
  </si>
  <si>
    <t>EBIAT Multiple</t>
  </si>
  <si>
    <t>EBIAT (2003, $ millions)</t>
  </si>
  <si>
    <t>Price per Share (EBIAT Multiple)</t>
  </si>
  <si>
    <t>Sensitivity Analysis Results</t>
  </si>
  <si>
    <t>Minimum Price</t>
  </si>
  <si>
    <t>Maximum Price</t>
  </si>
  <si>
    <t>Average Price</t>
  </si>
  <si>
    <t>Final Price Recommendation</t>
  </si>
  <si>
    <t>Recommended Price per Share</t>
  </si>
  <si>
    <t>SENSITIVITY ANALYSIS</t>
  </si>
  <si>
    <t>COGS SCENARIO TABLE FOR R.T.C. INC.</t>
  </si>
  <si>
    <t>reference</t>
  </si>
  <si>
    <t>BEST PERFORMNANCE</t>
  </si>
  <si>
    <t>GOOD PERFORMANCE</t>
  </si>
  <si>
    <t>BASE CASE PERFORMANCE</t>
  </si>
  <si>
    <t>BAD PERFORMANCE</t>
  </si>
  <si>
    <t>WORST PERFORMANCE</t>
  </si>
  <si>
    <t>SGA SCENARIO TABLE FOR R.T.C. INC.</t>
  </si>
  <si>
    <t>SHARE PRICE SENSITIVITY ANALYSIS - WACC vs TERMINAL GROWTH</t>
  </si>
  <si>
    <t>TERMINAL GROWTH</t>
  </si>
  <si>
    <t>SHARE PRICE SENSITIVITY ANALYSIS - COST OF EQUITY AND COST OF DEBT</t>
  </si>
  <si>
    <t>COST OF DEBT</t>
  </si>
  <si>
    <t>COST OF EQUITY</t>
  </si>
  <si>
    <t>SHARE PRICE SENSITIVITY ANALYSIS - WACC AND SALES GROWTH</t>
  </si>
  <si>
    <t>SALES GROWTH</t>
  </si>
  <si>
    <t>SHARE PRICE SENSITIVITY ANALYSIS - TERMINAL GROWTH vs COST OF DEBT</t>
  </si>
  <si>
    <t>SHARE PRICE SENSITIVITY ANALYSIS - COGS vs TERMINAL GROWTH</t>
  </si>
  <si>
    <t>SHARE PRICE SENSITIVITY ANALYSIS - SGA vs WACC</t>
  </si>
  <si>
    <t>SHARE PRICE SENSITIVITY ANALYSIS - COGS vs WACC</t>
  </si>
  <si>
    <t>SHARE PRICE SENSITIVITY ANALYSIS - SGA vs SALES GROWTH</t>
  </si>
  <si>
    <t>SHARE PRICE SENSITIVITY ANALYSIS - COGS vs SALES GROWTH</t>
  </si>
  <si>
    <t>SHARE PRICE SENSITIVITY ANALYSIS - COGS vs SGA</t>
  </si>
  <si>
    <t>SGA</t>
  </si>
  <si>
    <t>BEST</t>
  </si>
  <si>
    <t>GOOD</t>
  </si>
  <si>
    <t>BASE</t>
  </si>
  <si>
    <t>BAD</t>
  </si>
  <si>
    <t>WORST</t>
  </si>
  <si>
    <t>TERMINAL Growth</t>
  </si>
  <si>
    <t>NWC/Sales</t>
  </si>
  <si>
    <t>-</t>
  </si>
  <si>
    <t>Change in Fixed Assets</t>
  </si>
  <si>
    <t>Rd</t>
  </si>
  <si>
    <t>Tax</t>
  </si>
  <si>
    <t>rE</t>
  </si>
  <si>
    <t>MP</t>
  </si>
  <si>
    <t>RF</t>
  </si>
  <si>
    <t>Assume Beta of Debt is 0</t>
  </si>
  <si>
    <t>Beta Equity</t>
  </si>
  <si>
    <t>D/E</t>
  </si>
  <si>
    <t>E</t>
  </si>
  <si>
    <t>D</t>
  </si>
  <si>
    <t>Beta of Asset</t>
  </si>
  <si>
    <t>WACC CALCULATION</t>
  </si>
  <si>
    <t xml:space="preserve">Net Debt </t>
  </si>
  <si>
    <t>Cash</t>
  </si>
  <si>
    <t xml:space="preserve">Debt </t>
  </si>
  <si>
    <t>PV</t>
  </si>
  <si>
    <t>PV of CF</t>
  </si>
  <si>
    <t>Operating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</si>
</sst>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000"/>
    <numFmt numFmtId="165" formatCode="0.0%"/>
    <numFmt numFmtId="166" formatCode="0.00_);\(0.00\)"/>
    <numFmt numFmtId="167" formatCode="#,##0.000"/>
  </numFmts>
  <fonts count="1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404040"/>
      <name val="Quote-Cjk-Patch"/>
      <charset val="1"/>
    </font>
    <font>
      <sz val="15"/>
      <color rgb="FF404040"/>
      <name val="KaTeX_Main"/>
      <charset val="1"/>
    </font>
    <font>
      <b/>
      <sz val="12"/>
      <color theme="1"/>
      <name val="Calibri"/>
      <family val="2"/>
      <scheme val="minor"/>
    </font>
    <font>
      <b/>
      <i/>
      <u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3CC3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4" fillId="0" borderId="1" xfId="0" applyFont="1" applyBorder="1"/>
    <xf numFmtId="0" fontId="0" fillId="0" borderId="1" xfId="0" applyBorder="1"/>
    <xf numFmtId="10" fontId="0" fillId="0" borderId="1" xfId="0" applyNumberFormat="1" applyBorder="1" applyAlignment="1">
      <alignment horizontal="right"/>
    </xf>
    <xf numFmtId="9" fontId="0" fillId="0" borderId="1" xfId="1" applyFont="1" applyBorder="1"/>
    <xf numFmtId="9" fontId="0" fillId="0" borderId="1" xfId="1" applyFont="1" applyBorder="1" applyAlignment="1">
      <alignment horizontal="right"/>
    </xf>
    <xf numFmtId="2" fontId="0" fillId="0" borderId="1" xfId="0" applyNumberFormat="1" applyBorder="1"/>
    <xf numFmtId="0" fontId="2" fillId="0" borderId="0" xfId="0" applyFont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10" fontId="0" fillId="0" borderId="0" xfId="0" applyNumberFormat="1"/>
    <xf numFmtId="0" fontId="6" fillId="0" borderId="0" xfId="0" applyFont="1"/>
    <xf numFmtId="0" fontId="0" fillId="0" borderId="8" xfId="0" applyBorder="1"/>
    <xf numFmtId="0" fontId="6" fillId="4" borderId="9" xfId="0" applyFont="1" applyFill="1" applyBorder="1"/>
    <xf numFmtId="0" fontId="6" fillId="4" borderId="10" xfId="0" applyFont="1" applyFill="1" applyBorder="1"/>
    <xf numFmtId="0" fontId="6" fillId="4" borderId="11" xfId="0" applyFont="1" applyFill="1" applyBorder="1"/>
    <xf numFmtId="10" fontId="0" fillId="0" borderId="1" xfId="0" applyNumberFormat="1" applyBorder="1"/>
    <xf numFmtId="10" fontId="0" fillId="0" borderId="12" xfId="0" applyNumberFormat="1" applyBorder="1"/>
    <xf numFmtId="10" fontId="0" fillId="5" borderId="1" xfId="0" applyNumberFormat="1" applyFill="1" applyBorder="1"/>
    <xf numFmtId="10" fontId="0" fillId="5" borderId="12" xfId="0" applyNumberFormat="1" applyFill="1" applyBorder="1"/>
    <xf numFmtId="0" fontId="6" fillId="4" borderId="13" xfId="0" applyFont="1" applyFill="1" applyBorder="1"/>
    <xf numFmtId="10" fontId="0" fillId="0" borderId="14" xfId="0" applyNumberFormat="1" applyBorder="1"/>
    <xf numFmtId="10" fontId="0" fillId="0" borderId="15" xfId="0" applyNumberFormat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3" xfId="0" applyFill="1" applyBorder="1"/>
    <xf numFmtId="9" fontId="0" fillId="0" borderId="0" xfId="0" applyNumberFormat="1"/>
    <xf numFmtId="44" fontId="0" fillId="0" borderId="1" xfId="2" applyFont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9" fontId="0" fillId="6" borderId="16" xfId="0" applyNumberFormat="1" applyFill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165" fontId="0" fillId="0" borderId="3" xfId="0" applyNumberFormat="1" applyBorder="1"/>
    <xf numFmtId="44" fontId="0" fillId="0" borderId="1" xfId="2" applyFont="1" applyBorder="1"/>
    <xf numFmtId="10" fontId="0" fillId="0" borderId="3" xfId="0" applyNumberFormat="1" applyBorder="1"/>
    <xf numFmtId="10" fontId="0" fillId="6" borderId="3" xfId="0" applyNumberFormat="1" applyFill="1" applyBorder="1"/>
    <xf numFmtId="44" fontId="0" fillId="6" borderId="1" xfId="2" applyFont="1" applyFill="1" applyBorder="1"/>
    <xf numFmtId="9" fontId="0" fillId="0" borderId="3" xfId="0" applyNumberFormat="1" applyBorder="1"/>
    <xf numFmtId="9" fontId="0" fillId="0" borderId="16" xfId="0" applyNumberFormat="1" applyBorder="1"/>
    <xf numFmtId="10" fontId="0" fillId="0" borderId="16" xfId="0" applyNumberFormat="1" applyBorder="1"/>
    <xf numFmtId="10" fontId="0" fillId="6" borderId="16" xfId="0" applyNumberFormat="1" applyFill="1" applyBorder="1"/>
    <xf numFmtId="9" fontId="0" fillId="6" borderId="3" xfId="0" applyNumberFormat="1" applyFill="1" applyBorder="1"/>
    <xf numFmtId="44" fontId="0" fillId="0" borderId="0" xfId="2" applyFont="1"/>
    <xf numFmtId="9" fontId="0" fillId="0" borderId="16" xfId="2" applyNumberFormat="1" applyFont="1" applyBorder="1"/>
    <xf numFmtId="9" fontId="0" fillId="2" borderId="16" xfId="2" applyNumberFormat="1" applyFont="1" applyFill="1" applyBorder="1"/>
    <xf numFmtId="10" fontId="0" fillId="2" borderId="3" xfId="0" applyNumberFormat="1" applyFill="1" applyBorder="1"/>
    <xf numFmtId="44" fontId="0" fillId="2" borderId="1" xfId="2" applyFont="1" applyFill="1" applyBorder="1"/>
    <xf numFmtId="10" fontId="0" fillId="2" borderId="16" xfId="0" applyNumberFormat="1" applyFill="1" applyBorder="1"/>
    <xf numFmtId="9" fontId="0" fillId="2" borderId="3" xfId="0" applyNumberFormat="1" applyFill="1" applyBorder="1"/>
    <xf numFmtId="9" fontId="0" fillId="0" borderId="16" xfId="1" applyFont="1" applyBorder="1"/>
    <xf numFmtId="9" fontId="0" fillId="2" borderId="16" xfId="1" applyFont="1" applyFill="1" applyBorder="1"/>
    <xf numFmtId="0" fontId="0" fillId="0" borderId="2" xfId="0" applyBorder="1"/>
    <xf numFmtId="0" fontId="12" fillId="0" borderId="1" xfId="0" applyFont="1" applyBorder="1"/>
    <xf numFmtId="0" fontId="0" fillId="2" borderId="2" xfId="0" applyFill="1" applyBorder="1"/>
    <xf numFmtId="165" fontId="0" fillId="0" borderId="1" xfId="1" applyNumberFormat="1" applyFont="1" applyBorder="1"/>
    <xf numFmtId="165" fontId="0" fillId="2" borderId="1" xfId="1" applyNumberFormat="1" applyFont="1" applyFill="1" applyBorder="1"/>
    <xf numFmtId="44" fontId="0" fillId="0" borderId="1" xfId="2" applyFont="1" applyFill="1" applyBorder="1"/>
    <xf numFmtId="0" fontId="0" fillId="2" borderId="1" xfId="0" applyFill="1" applyBorder="1"/>
    <xf numFmtId="9" fontId="0" fillId="0" borderId="1" xfId="2" applyNumberFormat="1" applyFont="1" applyBorder="1"/>
    <xf numFmtId="9" fontId="0" fillId="2" borderId="1" xfId="2" applyNumberFormat="1" applyFont="1" applyFill="1" applyBorder="1"/>
    <xf numFmtId="0" fontId="0" fillId="2" borderId="1" xfId="0" applyFill="1" applyBorder="1" applyAlignment="1">
      <alignment horizontal="center"/>
    </xf>
    <xf numFmtId="0" fontId="12" fillId="0" borderId="1" xfId="2" applyNumberFormat="1" applyFont="1" applyBorder="1"/>
    <xf numFmtId="0" fontId="12" fillId="0" borderId="1" xfId="2" applyNumberFormat="1" applyFont="1" applyFill="1" applyBorder="1"/>
    <xf numFmtId="44" fontId="0" fillId="0" borderId="0" xfId="2" applyFont="1" applyBorder="1"/>
    <xf numFmtId="0" fontId="12" fillId="0" borderId="2" xfId="0" applyFont="1" applyBorder="1"/>
    <xf numFmtId="0" fontId="0" fillId="7" borderId="0" xfId="0" applyFill="1"/>
    <xf numFmtId="9" fontId="0" fillId="7" borderId="0" xfId="0" applyNumberFormat="1" applyFill="1"/>
    <xf numFmtId="165" fontId="0" fillId="7" borderId="0" xfId="1" applyNumberFormat="1" applyFont="1" applyFill="1"/>
    <xf numFmtId="0" fontId="1" fillId="0" borderId="0" xfId="3"/>
    <xf numFmtId="10" fontId="6" fillId="0" borderId="1" xfId="4" applyNumberFormat="1" applyFont="1" applyBorder="1"/>
    <xf numFmtId="0" fontId="6" fillId="0" borderId="1" xfId="3" applyFont="1" applyBorder="1"/>
    <xf numFmtId="10" fontId="6" fillId="0" borderId="1" xfId="3" applyNumberFormat="1" applyFont="1" applyBorder="1"/>
    <xf numFmtId="10" fontId="1" fillId="0" borderId="0" xfId="3" applyNumberFormat="1"/>
    <xf numFmtId="9" fontId="6" fillId="0" borderId="1" xfId="3" applyNumberFormat="1" applyFont="1" applyBorder="1"/>
    <xf numFmtId="2" fontId="6" fillId="0" borderId="1" xfId="3" applyNumberFormat="1" applyFont="1" applyBorder="1"/>
    <xf numFmtId="9" fontId="1" fillId="0" borderId="0" xfId="3" applyNumberFormat="1"/>
    <xf numFmtId="0" fontId="8" fillId="0" borderId="0" xfId="3" applyFont="1" applyAlignment="1">
      <alignment wrapText="1"/>
    </xf>
    <xf numFmtId="0" fontId="1" fillId="0" borderId="4" xfId="3" applyBorder="1"/>
    <xf numFmtId="0" fontId="6" fillId="0" borderId="4" xfId="3" applyFont="1" applyBorder="1"/>
    <xf numFmtId="0" fontId="9" fillId="0" borderId="0" xfId="3" applyFont="1"/>
    <xf numFmtId="167" fontId="1" fillId="0" borderId="4" xfId="3" applyNumberFormat="1" applyBorder="1"/>
    <xf numFmtId="2" fontId="1" fillId="0" borderId="4" xfId="3" applyNumberFormat="1" applyBorder="1"/>
    <xf numFmtId="0" fontId="8" fillId="0" borderId="0" xfId="3" quotePrefix="1" applyFont="1" applyAlignment="1">
      <alignment wrapText="1"/>
    </xf>
    <xf numFmtId="2" fontId="1" fillId="0" borderId="0" xfId="3" applyNumberFormat="1"/>
    <xf numFmtId="0" fontId="13" fillId="0" borderId="0" xfId="3" applyFont="1"/>
    <xf numFmtId="166" fontId="1" fillId="0" borderId="0" xfId="3" applyNumberFormat="1"/>
    <xf numFmtId="2" fontId="1" fillId="0" borderId="0" xfId="3" applyNumberFormat="1" applyAlignment="1">
      <alignment horizontal="center"/>
    </xf>
    <xf numFmtId="0" fontId="1" fillId="0" borderId="0" xfId="3" applyAlignment="1">
      <alignment horizontal="center"/>
    </xf>
    <xf numFmtId="166" fontId="7" fillId="0" borderId="1" xfId="3" applyNumberFormat="1" applyFont="1" applyBorder="1" applyAlignment="1">
      <alignment horizontal="center"/>
    </xf>
    <xf numFmtId="0" fontId="1" fillId="0" borderId="2" xfId="3" applyBorder="1" applyAlignment="1">
      <alignment horizontal="center"/>
    </xf>
    <xf numFmtId="2" fontId="1" fillId="0" borderId="1" xfId="3" applyNumberFormat="1" applyBorder="1" applyAlignment="1">
      <alignment horizontal="center"/>
    </xf>
    <xf numFmtId="0" fontId="1" fillId="0" borderId="1" xfId="3" applyBorder="1" applyAlignment="1">
      <alignment horizontal="center"/>
    </xf>
    <xf numFmtId="0" fontId="1" fillId="0" borderId="23" xfId="3" applyBorder="1" applyAlignment="1">
      <alignment horizontal="center"/>
    </xf>
    <xf numFmtId="0" fontId="7" fillId="0" borderId="2" xfId="3" applyFont="1" applyBorder="1" applyAlignment="1">
      <alignment horizontal="center"/>
    </xf>
    <xf numFmtId="0" fontId="7" fillId="0" borderId="1" xfId="3" applyFont="1" applyBorder="1" applyAlignment="1">
      <alignment horizontal="center"/>
    </xf>
    <xf numFmtId="0" fontId="4" fillId="0" borderId="2" xfId="3" applyFont="1" applyBorder="1" applyAlignment="1">
      <alignment horizontal="center"/>
    </xf>
    <xf numFmtId="0" fontId="4" fillId="0" borderId="1" xfId="3" applyFont="1" applyBorder="1" applyAlignment="1">
      <alignment horizontal="center"/>
    </xf>
    <xf numFmtId="0" fontId="1" fillId="7" borderId="0" xfId="3" applyFill="1"/>
    <xf numFmtId="9" fontId="1" fillId="7" borderId="0" xfId="3" applyNumberFormat="1" applyFill="1"/>
    <xf numFmtId="165" fontId="0" fillId="7" borderId="0" xfId="4" applyNumberFormat="1" applyFont="1" applyFill="1"/>
    <xf numFmtId="44" fontId="0" fillId="0" borderId="1" xfId="0" applyNumberFormat="1" applyBorder="1"/>
    <xf numFmtId="165" fontId="0" fillId="0" borderId="0" xfId="1" applyNumberFormat="1" applyFont="1"/>
    <xf numFmtId="44" fontId="4" fillId="0" borderId="1" xfId="0" applyNumberFormat="1" applyFont="1" applyBorder="1"/>
    <xf numFmtId="0" fontId="4" fillId="0" borderId="0" xfId="0" applyFont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3" applyFont="1" applyAlignment="1">
      <alignment horizontal="center"/>
    </xf>
    <xf numFmtId="0" fontId="1" fillId="0" borderId="0" xfId="3"/>
    <xf numFmtId="0" fontId="13" fillId="0" borderId="1" xfId="3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0" fontId="6" fillId="3" borderId="5" xfId="0" applyNumberFormat="1" applyFont="1" applyFill="1" applyBorder="1" applyAlignment="1">
      <alignment horizontal="center"/>
    </xf>
    <xf numFmtId="10" fontId="6" fillId="3" borderId="6" xfId="0" applyNumberFormat="1" applyFont="1" applyFill="1" applyBorder="1" applyAlignment="1">
      <alignment horizontal="center"/>
    </xf>
    <xf numFmtId="10" fontId="6" fillId="3" borderId="7" xfId="0" applyNumberFormat="1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0" fontId="6" fillId="0" borderId="5" xfId="2" applyNumberFormat="1" applyFont="1" applyBorder="1" applyAlignment="1">
      <alignment horizontal="center"/>
    </xf>
    <xf numFmtId="10" fontId="6" fillId="0" borderId="6" xfId="2" applyNumberFormat="1" applyFont="1" applyBorder="1" applyAlignment="1">
      <alignment horizontal="center"/>
    </xf>
    <xf numFmtId="10" fontId="6" fillId="0" borderId="7" xfId="2" applyNumberFormat="1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0" fontId="6" fillId="0" borderId="20" xfId="2" applyNumberFormat="1" applyFont="1" applyBorder="1" applyAlignment="1">
      <alignment horizontal="center"/>
    </xf>
    <xf numFmtId="10" fontId="6" fillId="0" borderId="21" xfId="2" applyNumberFormat="1" applyFont="1" applyBorder="1" applyAlignment="1">
      <alignment horizontal="center"/>
    </xf>
    <xf numFmtId="10" fontId="6" fillId="0" borderId="22" xfId="2" applyNumberFormat="1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5">
    <cellStyle name="Currency" xfId="2" builtinId="4"/>
    <cellStyle name="Normal" xfId="0" builtinId="0"/>
    <cellStyle name="Normal 2" xfId="3" xr:uid="{D867B568-3CC7-2549-8583-095653F8B651}"/>
    <cellStyle name="Percent" xfId="1" builtinId="5"/>
    <cellStyle name="Percent 2" xfId="4" xr:uid="{E3CEF79B-D7C2-4A49-9217-2774832C3D7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 Analysis"/>
      <sheetName val="FCF Model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opLeftCell="A12" zoomScale="121" workbookViewId="0">
      <selection activeCell="B24" sqref="B24"/>
    </sheetView>
  </sheetViews>
  <sheetFormatPr baseColWidth="10" defaultColWidth="8.83203125" defaultRowHeight="15"/>
  <cols>
    <col min="1" max="1" width="31.5" bestFit="1" customWidth="1"/>
    <col min="2" max="2" width="9.33203125" bestFit="1" customWidth="1"/>
    <col min="3" max="3" width="7.1640625" customWidth="1"/>
    <col min="4" max="5" width="7.83203125" customWidth="1"/>
    <col min="6" max="6" width="7.1640625" customWidth="1"/>
    <col min="7" max="9" width="20" customWidth="1"/>
  </cols>
  <sheetData>
    <row r="1" spans="1:6" ht="19">
      <c r="A1" s="105" t="s">
        <v>0</v>
      </c>
      <c r="B1" s="104"/>
      <c r="C1" s="104"/>
      <c r="D1" s="104"/>
    </row>
    <row r="3" spans="1:6" ht="16">
      <c r="A3" s="106" t="s">
        <v>1</v>
      </c>
      <c r="B3" s="104"/>
      <c r="C3" s="104"/>
      <c r="D3" s="104"/>
    </row>
    <row r="5" spans="1:6">
      <c r="A5" s="103" t="s">
        <v>2</v>
      </c>
      <c r="B5" s="104"/>
      <c r="C5" s="104"/>
      <c r="D5" s="104"/>
    </row>
    <row r="6" spans="1:6">
      <c r="A6" s="1" t="s">
        <v>3</v>
      </c>
      <c r="B6" s="2">
        <v>1998</v>
      </c>
      <c r="C6" s="2">
        <v>1999</v>
      </c>
      <c r="D6" s="2">
        <v>2000</v>
      </c>
      <c r="E6" s="2">
        <v>2001</v>
      </c>
      <c r="F6" s="2">
        <v>2002</v>
      </c>
    </row>
    <row r="7" spans="1:6">
      <c r="A7" s="2" t="s">
        <v>4</v>
      </c>
      <c r="B7" s="2">
        <v>48.5</v>
      </c>
      <c r="C7" s="2">
        <v>49.1</v>
      </c>
      <c r="D7" s="2">
        <v>53.7</v>
      </c>
      <c r="E7" s="2">
        <v>54.8</v>
      </c>
      <c r="F7" s="2">
        <v>55.3</v>
      </c>
    </row>
    <row r="8" spans="1:6">
      <c r="A8" s="2" t="s">
        <v>5</v>
      </c>
      <c r="B8" s="2">
        <v>32.6</v>
      </c>
      <c r="C8" s="2">
        <v>33.1</v>
      </c>
      <c r="D8" s="2">
        <v>35.9</v>
      </c>
      <c r="E8" s="2">
        <v>37.200000000000003</v>
      </c>
      <c r="F8" s="2">
        <v>37.9</v>
      </c>
    </row>
    <row r="9" spans="1:6">
      <c r="A9" s="2" t="s">
        <v>6</v>
      </c>
      <c r="B9" s="2">
        <v>10.7</v>
      </c>
      <c r="C9" s="2">
        <v>11.1</v>
      </c>
      <c r="D9" s="2">
        <v>11.5</v>
      </c>
      <c r="E9" s="2">
        <v>11.9</v>
      </c>
      <c r="F9" s="2">
        <v>12.3</v>
      </c>
    </row>
    <row r="10" spans="1:6">
      <c r="A10" s="2" t="s">
        <v>7</v>
      </c>
      <c r="B10" s="2">
        <v>2</v>
      </c>
      <c r="C10" s="2">
        <v>2.2999999999999998</v>
      </c>
      <c r="D10" s="2">
        <v>2.4</v>
      </c>
      <c r="E10" s="2">
        <v>2.2999999999999998</v>
      </c>
      <c r="F10" s="2">
        <v>2.1</v>
      </c>
    </row>
    <row r="11" spans="1:6">
      <c r="A11" s="2" t="s">
        <v>8</v>
      </c>
      <c r="B11" s="2">
        <v>0.4</v>
      </c>
      <c r="C11" s="2">
        <v>0.7</v>
      </c>
      <c r="D11" s="2">
        <v>0.8</v>
      </c>
      <c r="E11" s="2">
        <v>0.8</v>
      </c>
      <c r="F11" s="2">
        <v>0.8</v>
      </c>
    </row>
    <row r="13" spans="1:6">
      <c r="A13" s="103" t="s">
        <v>9</v>
      </c>
      <c r="B13" s="104"/>
      <c r="C13" s="104"/>
      <c r="D13" s="104"/>
    </row>
    <row r="14" spans="1:6">
      <c r="A14" s="2" t="s">
        <v>10</v>
      </c>
      <c r="B14" s="2">
        <v>1</v>
      </c>
    </row>
    <row r="15" spans="1:6">
      <c r="A15" s="2" t="s">
        <v>11</v>
      </c>
      <c r="B15" s="2">
        <v>8</v>
      </c>
    </row>
    <row r="16" spans="1:6">
      <c r="A16" s="2" t="s">
        <v>12</v>
      </c>
      <c r="B16" s="2">
        <v>18</v>
      </c>
    </row>
    <row r="17" spans="1:4">
      <c r="A17" s="2" t="s">
        <v>13</v>
      </c>
      <c r="B17" s="2">
        <v>1</v>
      </c>
    </row>
    <row r="18" spans="1:4">
      <c r="A18" s="2" t="s">
        <v>14</v>
      </c>
      <c r="B18" s="2">
        <v>28</v>
      </c>
    </row>
    <row r="19" spans="1:4">
      <c r="A19" s="2" t="s">
        <v>15</v>
      </c>
      <c r="B19" s="2">
        <v>19</v>
      </c>
    </row>
    <row r="20" spans="1:4">
      <c r="A20" s="2" t="s">
        <v>16</v>
      </c>
      <c r="B20" s="2">
        <v>47</v>
      </c>
    </row>
    <row r="21" spans="1:4">
      <c r="A21" s="2" t="s">
        <v>17</v>
      </c>
      <c r="B21" s="2">
        <v>2</v>
      </c>
    </row>
    <row r="22" spans="1:4">
      <c r="A22" s="2" t="s">
        <v>18</v>
      </c>
      <c r="B22" s="2">
        <v>2</v>
      </c>
    </row>
    <row r="23" spans="1:4">
      <c r="A23" s="2" t="s">
        <v>19</v>
      </c>
      <c r="B23" s="2">
        <v>4</v>
      </c>
    </row>
    <row r="24" spans="1:4">
      <c r="A24" s="2" t="s">
        <v>20</v>
      </c>
      <c r="B24" s="2">
        <v>12</v>
      </c>
    </row>
    <row r="25" spans="1:4">
      <c r="A25" s="2" t="s">
        <v>21</v>
      </c>
      <c r="B25" s="2">
        <v>31</v>
      </c>
    </row>
    <row r="27" spans="1:4">
      <c r="A27" s="103" t="s">
        <v>22</v>
      </c>
      <c r="B27" s="104"/>
      <c r="C27" s="104"/>
      <c r="D27" s="104"/>
    </row>
    <row r="28" spans="1:4">
      <c r="A28" s="2" t="s">
        <v>23</v>
      </c>
      <c r="B28" s="2">
        <v>53</v>
      </c>
    </row>
    <row r="29" spans="1:4">
      <c r="A29" s="2" t="s">
        <v>24</v>
      </c>
      <c r="B29" s="2">
        <v>173</v>
      </c>
    </row>
    <row r="30" spans="1:4">
      <c r="A30" s="2" t="s">
        <v>25</v>
      </c>
      <c r="B30" s="2">
        <v>1.18</v>
      </c>
    </row>
    <row r="31" spans="1:4">
      <c r="A31" s="2" t="s">
        <v>26</v>
      </c>
      <c r="B31" s="3" t="s">
        <v>27</v>
      </c>
    </row>
    <row r="32" spans="1:4">
      <c r="A32" s="2" t="s">
        <v>28</v>
      </c>
      <c r="B32" s="2">
        <v>1.52</v>
      </c>
    </row>
    <row r="34" spans="1:6">
      <c r="A34" s="103" t="s">
        <v>29</v>
      </c>
      <c r="B34" s="104"/>
      <c r="C34" s="104"/>
      <c r="D34" s="104"/>
    </row>
    <row r="35" spans="1:6">
      <c r="A35" s="1" t="s">
        <v>3</v>
      </c>
      <c r="B35" s="2">
        <v>2003</v>
      </c>
      <c r="C35" s="2">
        <v>2004</v>
      </c>
      <c r="D35" s="2">
        <v>2005</v>
      </c>
      <c r="E35" s="2">
        <v>2006</v>
      </c>
      <c r="F35" s="2">
        <v>2007</v>
      </c>
    </row>
    <row r="36" spans="1:6">
      <c r="A36" s="2" t="s">
        <v>30</v>
      </c>
      <c r="B36" s="2">
        <v>58.6</v>
      </c>
      <c r="C36" s="2">
        <v>62.1</v>
      </c>
      <c r="D36" s="2">
        <v>65.900000000000006</v>
      </c>
      <c r="E36" s="2">
        <v>69.8</v>
      </c>
      <c r="F36" s="2">
        <v>69.8</v>
      </c>
    </row>
    <row r="37" spans="1:6">
      <c r="A37" s="2" t="s">
        <v>31</v>
      </c>
      <c r="B37" s="2">
        <v>39.799999999999997</v>
      </c>
      <c r="C37" s="2">
        <v>41.6</v>
      </c>
      <c r="D37" s="2">
        <v>43.5</v>
      </c>
      <c r="E37" s="2">
        <v>45.4</v>
      </c>
      <c r="F37" s="2">
        <v>45.4</v>
      </c>
    </row>
    <row r="38" spans="1:6">
      <c r="A38" s="2" t="s">
        <v>32</v>
      </c>
      <c r="B38" s="2">
        <v>12.3</v>
      </c>
      <c r="C38" s="2">
        <v>12.4</v>
      </c>
      <c r="D38" s="2">
        <v>12.5</v>
      </c>
      <c r="E38" s="2">
        <v>13.3</v>
      </c>
      <c r="F38" s="2">
        <v>13.3</v>
      </c>
    </row>
    <row r="39" spans="1:6">
      <c r="A39" s="2" t="s">
        <v>33</v>
      </c>
      <c r="B39" s="2">
        <v>2.2999999999999998</v>
      </c>
      <c r="C39" s="2">
        <v>2.5</v>
      </c>
      <c r="D39" s="2">
        <v>2.7</v>
      </c>
      <c r="E39" s="2">
        <v>2.9</v>
      </c>
      <c r="F39" s="2">
        <v>2.9</v>
      </c>
    </row>
    <row r="40" spans="1:6">
      <c r="A40" s="2" t="s">
        <v>34</v>
      </c>
      <c r="B40" s="2">
        <v>4.2</v>
      </c>
      <c r="C40" s="2">
        <v>5.6</v>
      </c>
      <c r="D40" s="2">
        <v>7.2</v>
      </c>
      <c r="E40" s="2">
        <v>8.1999999999999993</v>
      </c>
      <c r="F40" s="2">
        <v>8.1999999999999993</v>
      </c>
    </row>
    <row r="41" spans="1:6">
      <c r="A41" s="2" t="s">
        <v>35</v>
      </c>
      <c r="B41" s="2">
        <v>1.7</v>
      </c>
      <c r="C41" s="2">
        <v>2.2000000000000002</v>
      </c>
      <c r="D41" s="2">
        <v>2.9</v>
      </c>
      <c r="E41" s="2">
        <v>3.3</v>
      </c>
      <c r="F41" s="2">
        <v>3.3</v>
      </c>
    </row>
    <row r="43" spans="1:6">
      <c r="A43" s="103" t="s">
        <v>36</v>
      </c>
      <c r="B43" s="104"/>
      <c r="C43" s="104"/>
      <c r="D43" s="104"/>
    </row>
    <row r="44" spans="1:6">
      <c r="A44" s="4" t="s">
        <v>37</v>
      </c>
      <c r="B44" s="5" t="s">
        <v>38</v>
      </c>
    </row>
    <row r="45" spans="1:6">
      <c r="A45" s="4" t="s">
        <v>39</v>
      </c>
      <c r="B45" s="5" t="s">
        <v>40</v>
      </c>
    </row>
    <row r="46" spans="1:6">
      <c r="A46" s="4" t="s">
        <v>41</v>
      </c>
      <c r="B46" s="5" t="s">
        <v>42</v>
      </c>
    </row>
    <row r="47" spans="1:6">
      <c r="A47" s="4" t="s">
        <v>43</v>
      </c>
      <c r="B47" s="5" t="s">
        <v>44</v>
      </c>
    </row>
    <row r="48" spans="1:6">
      <c r="A48" s="4" t="s">
        <v>45</v>
      </c>
      <c r="B48" s="5" t="s">
        <v>46</v>
      </c>
    </row>
    <row r="49" spans="1:4">
      <c r="A49" s="4" t="s">
        <v>47</v>
      </c>
      <c r="B49" s="5" t="s">
        <v>48</v>
      </c>
    </row>
    <row r="51" spans="1:4">
      <c r="A51" s="103" t="s">
        <v>49</v>
      </c>
      <c r="B51" s="104"/>
      <c r="C51" s="104"/>
      <c r="D51" s="104"/>
    </row>
    <row r="52" spans="1:4">
      <c r="A52" s="2" t="s">
        <v>50</v>
      </c>
      <c r="B52" s="2">
        <v>0.75</v>
      </c>
    </row>
    <row r="53" spans="1:4">
      <c r="A53" s="2" t="s">
        <v>51</v>
      </c>
      <c r="B53" s="6">
        <f>B52/0.72</f>
        <v>1.0416666666666667</v>
      </c>
    </row>
    <row r="54" spans="1:4">
      <c r="A54" s="2" t="s">
        <v>52</v>
      </c>
      <c r="B54" s="6">
        <f>B53+(B53*B58)</f>
        <v>1.0625</v>
      </c>
    </row>
    <row r="55" spans="1:4">
      <c r="A55" s="2" t="s">
        <v>53</v>
      </c>
      <c r="B55" s="2">
        <f>B49*(1-0.4)</f>
        <v>3.5999999999999997E-2</v>
      </c>
    </row>
    <row r="56" spans="1:4">
      <c r="A56" s="2" t="s">
        <v>54</v>
      </c>
      <c r="B56" s="2">
        <v>0.4</v>
      </c>
    </row>
    <row r="57" spans="1:4">
      <c r="A57" s="2" t="s">
        <v>55</v>
      </c>
      <c r="B57" s="9">
        <v>8.14E-2</v>
      </c>
    </row>
    <row r="58" spans="1:4">
      <c r="A58" s="2" t="s">
        <v>56</v>
      </c>
      <c r="B58" s="5">
        <v>0.02</v>
      </c>
    </row>
    <row r="59" spans="1:4">
      <c r="A59" s="2" t="s">
        <v>57</v>
      </c>
      <c r="B59" s="2">
        <v>584000</v>
      </c>
    </row>
  </sheetData>
  <mergeCells count="8">
    <mergeCell ref="A43:D43"/>
    <mergeCell ref="A51:D51"/>
    <mergeCell ref="A13:D13"/>
    <mergeCell ref="A1:D1"/>
    <mergeCell ref="A5:D5"/>
    <mergeCell ref="A27:D27"/>
    <mergeCell ref="A34:D34"/>
    <mergeCell ref="A3:D3"/>
  </mergeCells>
  <pageMargins left="0.75" right="0.75" top="1" bottom="1" header="0.5" footer="0.5"/>
  <ignoredErrors>
    <ignoredError sqref="B31 B44:B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1A8DB-B52B-E043-9AD5-9FEA6C2F78BD}">
  <dimension ref="A2:X35"/>
  <sheetViews>
    <sheetView topLeftCell="R4" workbookViewId="0">
      <selection activeCell="V22" sqref="V22"/>
    </sheetView>
  </sheetViews>
  <sheetFormatPr baseColWidth="10" defaultRowHeight="16"/>
  <cols>
    <col min="1" max="1" width="12.83203125" style="68" bestFit="1" customWidth="1"/>
    <col min="2" max="14" width="10.83203125" style="68"/>
    <col min="15" max="15" width="17.1640625" style="68" customWidth="1"/>
    <col min="16" max="16" width="19.33203125" style="68" customWidth="1"/>
    <col min="17" max="18" width="10.83203125" style="68"/>
    <col min="19" max="20" width="15.83203125" style="68" customWidth="1"/>
    <col min="21" max="21" width="16.6640625" style="68" customWidth="1"/>
    <col min="22" max="16384" width="10.83203125" style="68"/>
  </cols>
  <sheetData>
    <row r="2" spans="1:24">
      <c r="D2" s="97" t="s">
        <v>122</v>
      </c>
      <c r="E2" s="98">
        <v>0.02</v>
      </c>
      <c r="F2" s="97"/>
      <c r="G2" s="97" t="s">
        <v>123</v>
      </c>
      <c r="H2" s="99">
        <f>R10/C10</f>
        <v>0.43399638336347202</v>
      </c>
    </row>
    <row r="3" spans="1:24">
      <c r="D3" s="97" t="s">
        <v>108</v>
      </c>
      <c r="E3" s="98">
        <v>0.06</v>
      </c>
      <c r="F3" s="97"/>
      <c r="G3" s="97"/>
      <c r="H3" s="97"/>
    </row>
    <row r="7" spans="1:24" ht="19">
      <c r="A7" s="107" t="s">
        <v>58</v>
      </c>
      <c r="B7" s="107"/>
      <c r="C7" s="108"/>
      <c r="D7" s="108"/>
      <c r="E7" s="108"/>
      <c r="F7" s="108"/>
      <c r="G7" s="108"/>
      <c r="H7" s="108"/>
    </row>
    <row r="9" spans="1:24">
      <c r="A9" s="96" t="s">
        <v>3</v>
      </c>
      <c r="B9" s="96"/>
      <c r="C9" s="96" t="s">
        <v>59</v>
      </c>
      <c r="D9" s="96" t="s">
        <v>31</v>
      </c>
      <c r="E9" s="96" t="s">
        <v>60</v>
      </c>
      <c r="F9" s="96" t="s">
        <v>61</v>
      </c>
      <c r="G9" s="96" t="s">
        <v>62</v>
      </c>
      <c r="H9" s="96" t="s">
        <v>63</v>
      </c>
      <c r="I9" s="96" t="s">
        <v>64</v>
      </c>
      <c r="J9" s="96" t="s">
        <v>61</v>
      </c>
      <c r="K9" s="96" t="s">
        <v>65</v>
      </c>
      <c r="L9" s="96" t="s">
        <v>66</v>
      </c>
      <c r="M9" s="96" t="s">
        <v>67</v>
      </c>
      <c r="N9" s="96" t="s">
        <v>68</v>
      </c>
      <c r="O9" s="96" t="s">
        <v>143</v>
      </c>
      <c r="P9" s="96" t="s">
        <v>125</v>
      </c>
      <c r="Q9" s="96" t="s">
        <v>69</v>
      </c>
      <c r="R9" s="96" t="s">
        <v>70</v>
      </c>
      <c r="S9" s="96" t="s">
        <v>71</v>
      </c>
      <c r="T9" s="96" t="s">
        <v>142</v>
      </c>
      <c r="U9" s="96" t="s">
        <v>72</v>
      </c>
      <c r="V9" s="95"/>
      <c r="W9" s="78"/>
    </row>
    <row r="10" spans="1:24">
      <c r="A10" s="94">
        <v>2002</v>
      </c>
      <c r="B10" s="94">
        <v>0</v>
      </c>
      <c r="C10" s="91">
        <v>55.3</v>
      </c>
      <c r="D10" s="91">
        <v>37.9</v>
      </c>
      <c r="E10" s="91">
        <v>12.3</v>
      </c>
      <c r="F10" s="91">
        <v>2.1</v>
      </c>
      <c r="G10" s="91">
        <f t="shared" ref="G10:G15" si="0">C10-D10-E10-F10</f>
        <v>2.9999999999999978</v>
      </c>
      <c r="H10" s="90">
        <f>G10*Assumptions!$B$56</f>
        <v>1.1999999999999991</v>
      </c>
      <c r="I10" s="90">
        <f t="shared" ref="I10:I15" si="1">G10-H10</f>
        <v>1.7999999999999987</v>
      </c>
      <c r="J10" s="91">
        <f t="shared" ref="J10:J15" si="2">F10</f>
        <v>2.1</v>
      </c>
      <c r="K10" s="91">
        <v>0</v>
      </c>
      <c r="L10" s="91">
        <v>8</v>
      </c>
      <c r="M10" s="91">
        <v>18</v>
      </c>
      <c r="N10" s="91">
        <v>2</v>
      </c>
      <c r="O10" s="90">
        <f t="shared" ref="O10:O15" si="3">I10+J10</f>
        <v>3.8999999999999986</v>
      </c>
      <c r="P10" s="91"/>
      <c r="Q10" s="91">
        <v>24</v>
      </c>
      <c r="R10" s="91">
        <v>24</v>
      </c>
      <c r="S10" s="94"/>
      <c r="T10" s="94"/>
      <c r="U10" s="94"/>
      <c r="V10" s="93">
        <f>S10</f>
        <v>0</v>
      </c>
      <c r="W10" s="77"/>
    </row>
    <row r="11" spans="1:24">
      <c r="A11" s="91">
        <v>2003</v>
      </c>
      <c r="B11" s="91">
        <v>1</v>
      </c>
      <c r="C11" s="91">
        <v>58.62</v>
      </c>
      <c r="D11" s="91">
        <v>39.81</v>
      </c>
      <c r="E11" s="91">
        <v>12.3</v>
      </c>
      <c r="F11" s="91">
        <v>2.2999999999999998</v>
      </c>
      <c r="G11" s="91">
        <f t="shared" si="0"/>
        <v>4.2099999999999946</v>
      </c>
      <c r="H11" s="90">
        <f>G11*Assumptions!$B$56</f>
        <v>1.6839999999999979</v>
      </c>
      <c r="I11" s="90">
        <f t="shared" si="1"/>
        <v>2.5259999999999967</v>
      </c>
      <c r="J11" s="91">
        <f t="shared" si="2"/>
        <v>2.2999999999999998</v>
      </c>
      <c r="K11" s="91">
        <v>-4</v>
      </c>
      <c r="L11" s="91">
        <v>8.5</v>
      </c>
      <c r="M11" s="91">
        <v>11.7</v>
      </c>
      <c r="N11" s="91">
        <v>2.1</v>
      </c>
      <c r="O11" s="90">
        <f t="shared" si="3"/>
        <v>4.825999999999997</v>
      </c>
      <c r="P11" s="91">
        <v>4</v>
      </c>
      <c r="Q11" s="90">
        <f>C11*H2</f>
        <v>25.44086799276673</v>
      </c>
      <c r="R11" s="90">
        <f>Q11-Q10</f>
        <v>1.4408679927667301</v>
      </c>
      <c r="S11" s="88">
        <f>O11-P11-R11</f>
        <v>-0.6148679927667331</v>
      </c>
      <c r="T11" s="88">
        <f>S11/(1+I35)^B11</f>
        <v>-0.56565530264983432</v>
      </c>
      <c r="U11" s="90">
        <f>1/(1+Assumptions!$B$57)^'[1]FCF Model'!T11</f>
        <v>1</v>
      </c>
      <c r="V11" s="89">
        <f>S11*U11</f>
        <v>-0.6148679927667331</v>
      </c>
      <c r="W11" s="77"/>
      <c r="X11" s="68">
        <v>1</v>
      </c>
    </row>
    <row r="12" spans="1:24">
      <c r="A12" s="91">
        <v>2004</v>
      </c>
      <c r="B12" s="91">
        <v>2</v>
      </c>
      <c r="C12" s="91">
        <v>62.14</v>
      </c>
      <c r="D12" s="91">
        <v>41.62</v>
      </c>
      <c r="E12" s="91">
        <v>12.41</v>
      </c>
      <c r="F12" s="91">
        <v>2.5</v>
      </c>
      <c r="G12" s="91">
        <f t="shared" si="0"/>
        <v>5.610000000000003</v>
      </c>
      <c r="H12" s="90">
        <f>G12*Assumptions!$B$56</f>
        <v>2.2440000000000011</v>
      </c>
      <c r="I12" s="90">
        <f t="shared" si="1"/>
        <v>3.3660000000000019</v>
      </c>
      <c r="J12" s="91">
        <f t="shared" si="2"/>
        <v>2.5</v>
      </c>
      <c r="K12" s="91">
        <v>-3.5</v>
      </c>
      <c r="L12" s="91">
        <v>9</v>
      </c>
      <c r="M12" s="91">
        <v>12.4</v>
      </c>
      <c r="N12" s="91">
        <v>2.2999999999999998</v>
      </c>
      <c r="O12" s="90">
        <f t="shared" si="3"/>
        <v>5.8660000000000014</v>
      </c>
      <c r="P12" s="91">
        <v>3.5</v>
      </c>
      <c r="Q12" s="90">
        <f>C12*H2</f>
        <v>26.968535262206153</v>
      </c>
      <c r="R12" s="90">
        <f>Q12-Q11</f>
        <v>1.5276672694394229</v>
      </c>
      <c r="S12" s="88">
        <f>O12-P12-R12</f>
        <v>0.83833273056057855</v>
      </c>
      <c r="T12" s="88">
        <f>S12/(1+I35)^B12</f>
        <v>0.70950649483780726</v>
      </c>
      <c r="U12" s="90">
        <f>1/(1+Assumptions!$B$57)^'[1]FCF Model'!T12</f>
        <v>1</v>
      </c>
      <c r="V12" s="89">
        <f>S12*U12</f>
        <v>0.83833273056057855</v>
      </c>
      <c r="W12" s="77"/>
      <c r="X12" s="68">
        <v>2</v>
      </c>
    </row>
    <row r="13" spans="1:24">
      <c r="A13" s="91">
        <v>2005</v>
      </c>
      <c r="B13" s="91">
        <v>3</v>
      </c>
      <c r="C13" s="91">
        <v>65.86</v>
      </c>
      <c r="D13" s="91">
        <v>43.48</v>
      </c>
      <c r="E13" s="91">
        <v>13.26</v>
      </c>
      <c r="F13" s="91">
        <v>2.7</v>
      </c>
      <c r="G13" s="91">
        <f t="shared" si="0"/>
        <v>6.4200000000000026</v>
      </c>
      <c r="H13" s="90">
        <f>G13*Assumptions!$B$56</f>
        <v>2.5680000000000014</v>
      </c>
      <c r="I13" s="90">
        <f t="shared" si="1"/>
        <v>3.8520000000000012</v>
      </c>
      <c r="J13" s="91">
        <f t="shared" si="2"/>
        <v>2.7</v>
      </c>
      <c r="K13" s="91">
        <v>-3.6</v>
      </c>
      <c r="L13" s="91">
        <v>9.6</v>
      </c>
      <c r="M13" s="91">
        <v>13.2</v>
      </c>
      <c r="N13" s="91">
        <v>2.4</v>
      </c>
      <c r="O13" s="90">
        <f t="shared" si="3"/>
        <v>6.5520000000000014</v>
      </c>
      <c r="P13" s="91">
        <v>3.6</v>
      </c>
      <c r="Q13" s="90">
        <f>C13*H2</f>
        <v>28.583001808318265</v>
      </c>
      <c r="R13" s="90">
        <f>Q13-Q12</f>
        <v>1.6144665461121122</v>
      </c>
      <c r="S13" s="88">
        <f>O13-P13-R13</f>
        <v>1.3375334538878891</v>
      </c>
      <c r="T13" s="88">
        <f>S13/(1+I35)^B13</f>
        <v>1.0413928286300755</v>
      </c>
      <c r="U13" s="90">
        <f>1/(1+Assumptions!$B$57)^'[1]FCF Model'!T13</f>
        <v>1</v>
      </c>
      <c r="V13" s="89">
        <f>S13*U13</f>
        <v>1.3375334538878891</v>
      </c>
      <c r="W13" s="77"/>
      <c r="X13" s="68">
        <v>3</v>
      </c>
    </row>
    <row r="14" spans="1:24">
      <c r="A14" s="91">
        <v>2006</v>
      </c>
      <c r="B14" s="91">
        <v>4</v>
      </c>
      <c r="C14" s="91">
        <v>69.81</v>
      </c>
      <c r="D14" s="91">
        <v>45.41</v>
      </c>
      <c r="E14" s="92">
        <v>13.3</v>
      </c>
      <c r="F14" s="91">
        <v>2.9</v>
      </c>
      <c r="G14" s="91">
        <f t="shared" si="0"/>
        <v>8.2000000000000046</v>
      </c>
      <c r="H14" s="90">
        <f>G14*Assumptions!$B$56</f>
        <v>3.280000000000002</v>
      </c>
      <c r="I14" s="90">
        <f t="shared" si="1"/>
        <v>4.9200000000000026</v>
      </c>
      <c r="J14" s="91">
        <f t="shared" si="2"/>
        <v>2.9</v>
      </c>
      <c r="K14" s="91">
        <v>-3.8</v>
      </c>
      <c r="L14" s="91">
        <v>10.199999999999999</v>
      </c>
      <c r="M14" s="91">
        <v>14</v>
      </c>
      <c r="N14" s="91">
        <v>2.5</v>
      </c>
      <c r="O14" s="90">
        <f t="shared" si="3"/>
        <v>7.8200000000000021</v>
      </c>
      <c r="P14" s="91">
        <v>3.8</v>
      </c>
      <c r="Q14" s="90">
        <f>C14*H2</f>
        <v>30.297287522603984</v>
      </c>
      <c r="R14" s="90">
        <f>Q14-Q13</f>
        <v>1.7142857142857189</v>
      </c>
      <c r="S14" s="88">
        <f>O14-P14-R14</f>
        <v>2.3057142857142834</v>
      </c>
      <c r="T14" s="88">
        <f>S14/(1+I35)^B14</f>
        <v>1.6515259280277965</v>
      </c>
      <c r="U14" s="90">
        <f>1/(1+Assumptions!$B$57)^'[1]FCF Model'!T14</f>
        <v>1</v>
      </c>
      <c r="V14" s="89">
        <f>S14*U14</f>
        <v>2.3057142857142834</v>
      </c>
      <c r="W14" s="77"/>
      <c r="X14" s="68">
        <v>4</v>
      </c>
    </row>
    <row r="15" spans="1:24">
      <c r="A15" s="91">
        <v>2007</v>
      </c>
      <c r="B15" s="91">
        <v>5</v>
      </c>
      <c r="C15" s="91">
        <v>69.81</v>
      </c>
      <c r="D15" s="91">
        <v>45.41</v>
      </c>
      <c r="E15" s="91">
        <v>13.3</v>
      </c>
      <c r="F15" s="91">
        <v>2.9</v>
      </c>
      <c r="G15" s="91">
        <f t="shared" si="0"/>
        <v>8.2000000000000046</v>
      </c>
      <c r="H15" s="90">
        <f>G15*Assumptions!$B$56</f>
        <v>3.280000000000002</v>
      </c>
      <c r="I15" s="90">
        <f t="shared" si="1"/>
        <v>4.9200000000000026</v>
      </c>
      <c r="J15" s="91">
        <f t="shared" si="2"/>
        <v>2.9</v>
      </c>
      <c r="K15" s="91">
        <v>-2.9</v>
      </c>
      <c r="L15" s="91">
        <v>10.199999999999999</v>
      </c>
      <c r="M15" s="91">
        <v>14</v>
      </c>
      <c r="N15" s="91">
        <v>2.5</v>
      </c>
      <c r="O15" s="90">
        <f t="shared" si="3"/>
        <v>7.8200000000000021</v>
      </c>
      <c r="P15" s="91">
        <v>2.9</v>
      </c>
      <c r="Q15" s="90">
        <f>C15*H2</f>
        <v>30.297287522603984</v>
      </c>
      <c r="R15" s="90" t="s">
        <v>124</v>
      </c>
      <c r="S15" s="88">
        <f>O15-P15</f>
        <v>4.9200000000000017</v>
      </c>
      <c r="T15" s="88">
        <f>S15/(1+I35)^B15</f>
        <v>3.2420147404971851</v>
      </c>
      <c r="U15" s="90">
        <f>1/(1+Assumptions!$B$57)^'[1]FCF Model'!T15</f>
        <v>1</v>
      </c>
      <c r="V15" s="89">
        <f>S15*U15</f>
        <v>4.9200000000000017</v>
      </c>
      <c r="X15" s="68">
        <v>5</v>
      </c>
    </row>
    <row r="16" spans="1:24">
      <c r="A16" s="78" t="s">
        <v>73</v>
      </c>
      <c r="B16" s="87">
        <v>5</v>
      </c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S16" s="81">
        <f>S15/(I35-E2)</f>
        <v>73.431520629481298</v>
      </c>
      <c r="T16" s="88">
        <f>S16/(1+I35)^B16</f>
        <v>48.387413068679145</v>
      </c>
      <c r="U16" s="87"/>
      <c r="V16" s="86">
        <f>S16/(1+I35)^B15</f>
        <v>48.387413068679145</v>
      </c>
    </row>
    <row r="17" spans="1:22">
      <c r="A17" s="68" t="s">
        <v>141</v>
      </c>
      <c r="T17" s="85">
        <f>SUM(T11:T16)</f>
        <v>54.466197758022176</v>
      </c>
    </row>
    <row r="18" spans="1:22">
      <c r="U18" s="78" t="s">
        <v>140</v>
      </c>
      <c r="V18" s="81">
        <f>T17*0.37</f>
        <v>20.152493170468205</v>
      </c>
    </row>
    <row r="19" spans="1:22">
      <c r="U19" s="78" t="s">
        <v>139</v>
      </c>
      <c r="V19" s="81">
        <v>1</v>
      </c>
    </row>
    <row r="20" spans="1:22">
      <c r="U20" s="78" t="s">
        <v>138</v>
      </c>
      <c r="V20" s="81">
        <f>V18-V19</f>
        <v>19.152493170468205</v>
      </c>
    </row>
    <row r="21" spans="1:22" ht="21">
      <c r="A21" s="76"/>
      <c r="B21" s="76"/>
      <c r="C21" s="76"/>
      <c r="D21" s="76"/>
      <c r="E21" s="76"/>
      <c r="F21" s="84"/>
      <c r="G21" s="109" t="s">
        <v>137</v>
      </c>
      <c r="H21" s="109"/>
      <c r="I21" s="109"/>
      <c r="J21" s="109"/>
      <c r="M21" s="76"/>
      <c r="N21" s="76"/>
      <c r="O21" s="76"/>
      <c r="P21" s="76"/>
      <c r="Q21" s="76"/>
      <c r="R21" s="76"/>
      <c r="U21" s="78" t="s">
        <v>74</v>
      </c>
      <c r="V21" s="81">
        <v>1</v>
      </c>
    </row>
    <row r="22" spans="1:22" ht="21">
      <c r="A22" s="76"/>
      <c r="B22" s="76"/>
      <c r="C22" s="76"/>
      <c r="D22" s="76"/>
      <c r="E22" s="76"/>
      <c r="F22" s="84"/>
      <c r="G22" s="109"/>
      <c r="H22" s="109"/>
      <c r="I22" s="109"/>
      <c r="J22" s="109"/>
      <c r="L22" s="83"/>
      <c r="M22" s="82"/>
      <c r="N22" s="82"/>
      <c r="O22" s="82"/>
      <c r="P22" s="82"/>
      <c r="Q22" s="82"/>
      <c r="R22" s="82"/>
      <c r="U22" s="78" t="s">
        <v>75</v>
      </c>
      <c r="V22" s="81">
        <f>T17-V20</f>
        <v>35.313704587553971</v>
      </c>
    </row>
    <row r="23" spans="1:22">
      <c r="A23" s="76"/>
      <c r="B23" s="76"/>
      <c r="C23" s="76"/>
      <c r="D23" s="76"/>
      <c r="E23" s="76"/>
      <c r="L23" s="72"/>
      <c r="M23" s="76"/>
      <c r="N23" s="76"/>
      <c r="O23" s="76"/>
      <c r="P23" s="76"/>
      <c r="Q23" s="76"/>
      <c r="R23" s="76"/>
      <c r="U23" s="78" t="s">
        <v>76</v>
      </c>
      <c r="V23" s="80">
        <v>0.58399999999999996</v>
      </c>
    </row>
    <row r="24" spans="1:22" ht="19">
      <c r="A24" s="76"/>
      <c r="B24" s="76"/>
      <c r="C24" s="76"/>
      <c r="D24" s="76"/>
      <c r="E24" s="76"/>
      <c r="L24" s="72"/>
      <c r="M24" s="76"/>
      <c r="N24" s="76"/>
      <c r="O24" s="76"/>
      <c r="P24" s="76"/>
      <c r="Q24" s="76"/>
      <c r="R24" s="79"/>
      <c r="U24" s="78" t="s">
        <v>77</v>
      </c>
      <c r="V24" s="81">
        <f>V22/V23</f>
        <v>60.468672238962284</v>
      </c>
    </row>
    <row r="25" spans="1:22">
      <c r="A25" s="76"/>
      <c r="B25" s="76"/>
      <c r="C25" s="76"/>
      <c r="D25" s="76"/>
      <c r="E25" s="76"/>
      <c r="H25" s="70" t="s">
        <v>136</v>
      </c>
      <c r="I25" s="70">
        <f>(0.71+0.63+0.8+0.63+0.85+0.73)/6</f>
        <v>0.72499999999999998</v>
      </c>
      <c r="L25" s="75"/>
      <c r="M25" s="76"/>
      <c r="N25" s="76"/>
      <c r="O25" s="76"/>
      <c r="P25" s="76"/>
      <c r="Q25" s="76"/>
      <c r="R25" s="76"/>
    </row>
    <row r="26" spans="1:22">
      <c r="A26" s="76"/>
      <c r="B26" s="76"/>
      <c r="C26" s="76"/>
      <c r="D26" s="76"/>
      <c r="E26" s="76"/>
      <c r="H26" s="70" t="s">
        <v>135</v>
      </c>
      <c r="I26" s="73">
        <v>0.37</v>
      </c>
      <c r="L26" s="72"/>
      <c r="M26" s="76"/>
      <c r="N26" s="76"/>
      <c r="O26" s="76"/>
      <c r="P26" s="76"/>
      <c r="Q26" s="76"/>
      <c r="R26" s="76"/>
    </row>
    <row r="27" spans="1:22">
      <c r="H27" s="70" t="s">
        <v>134</v>
      </c>
      <c r="I27" s="73">
        <v>0.63</v>
      </c>
      <c r="L27" s="72"/>
    </row>
    <row r="28" spans="1:22">
      <c r="H28" s="70" t="s">
        <v>133</v>
      </c>
      <c r="I28" s="69">
        <f>I26/I27</f>
        <v>0.58730158730158732</v>
      </c>
      <c r="L28" s="75"/>
    </row>
    <row r="29" spans="1:22">
      <c r="H29" s="70" t="s">
        <v>132</v>
      </c>
      <c r="I29" s="74">
        <f>I25*(1+I28)</f>
        <v>1.1507936507936509</v>
      </c>
      <c r="J29" s="68" t="s">
        <v>131</v>
      </c>
      <c r="L29" s="72"/>
    </row>
    <row r="30" spans="1:22">
      <c r="H30" s="70" t="s">
        <v>130</v>
      </c>
      <c r="I30" s="71">
        <v>4.1000000000000002E-2</v>
      </c>
      <c r="L30" s="72"/>
    </row>
    <row r="31" spans="1:22">
      <c r="H31" s="70" t="s">
        <v>129</v>
      </c>
      <c r="I31" s="73">
        <v>0.06</v>
      </c>
      <c r="L31" s="72"/>
    </row>
    <row r="32" spans="1:22">
      <c r="H32" s="70" t="s">
        <v>128</v>
      </c>
      <c r="I32" s="69">
        <f>I30+(I29*(I31))</f>
        <v>0.11004761904761906</v>
      </c>
      <c r="L32" s="72"/>
    </row>
    <row r="33" spans="8:12">
      <c r="H33" s="70" t="s">
        <v>127</v>
      </c>
      <c r="I33" s="73">
        <v>0.4</v>
      </c>
      <c r="K33" s="72">
        <v>7.9600000000000004E-2</v>
      </c>
      <c r="L33" s="72"/>
    </row>
    <row r="34" spans="8:12">
      <c r="H34" s="70" t="s">
        <v>126</v>
      </c>
      <c r="I34" s="71">
        <v>7.9600000000000004E-2</v>
      </c>
    </row>
    <row r="35" spans="8:12">
      <c r="H35" s="70" t="s">
        <v>55</v>
      </c>
      <c r="I35" s="69">
        <f>(I27*I32)+(I26*I34*(1-I33))</f>
        <v>8.7001200000000001E-2</v>
      </c>
    </row>
  </sheetData>
  <mergeCells count="2">
    <mergeCell ref="A7:H7"/>
    <mergeCell ref="G21:J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E209-0AA8-3B4F-B64A-4432404E3479}">
  <dimension ref="A4:L152"/>
  <sheetViews>
    <sheetView topLeftCell="A60" zoomScale="84" workbookViewId="0">
      <selection activeCell="C76" sqref="C76:H76"/>
    </sheetView>
  </sheetViews>
  <sheetFormatPr baseColWidth="10" defaultRowHeight="15"/>
  <cols>
    <col min="1" max="1" width="25.83203125" customWidth="1"/>
  </cols>
  <sheetData>
    <row r="4" spans="1:12">
      <c r="B4" s="65" t="s">
        <v>122</v>
      </c>
      <c r="C4" s="66">
        <v>0.02</v>
      </c>
      <c r="D4" s="65"/>
      <c r="E4" s="65" t="s">
        <v>123</v>
      </c>
      <c r="F4" s="67">
        <f>FCF!Q10/FCF!C10</f>
        <v>0.43399638336347202</v>
      </c>
    </row>
    <row r="5" spans="1:12">
      <c r="B5" s="65" t="s">
        <v>108</v>
      </c>
      <c r="C5" s="66">
        <v>0.06</v>
      </c>
      <c r="D5" s="65"/>
      <c r="E5" s="65"/>
      <c r="F5" s="65"/>
    </row>
    <row r="9" spans="1:12">
      <c r="A9" s="113" t="s">
        <v>93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</row>
    <row r="10" spans="1:12">
      <c r="A10" s="113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</row>
    <row r="11" spans="1:12">
      <c r="A11" s="113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1:12">
      <c r="B12" s="10"/>
    </row>
    <row r="13" spans="1:12" ht="16" thickBot="1">
      <c r="B13" s="10"/>
    </row>
    <row r="14" spans="1:12" ht="16" thickBot="1">
      <c r="A14" s="114" t="s">
        <v>94</v>
      </c>
      <c r="B14" s="115"/>
      <c r="C14" s="115"/>
      <c r="D14" s="115"/>
      <c r="E14" s="115"/>
      <c r="F14" s="115"/>
      <c r="G14" s="116"/>
      <c r="H14" s="11" t="s">
        <v>95</v>
      </c>
      <c r="I14" s="11">
        <v>3</v>
      </c>
    </row>
    <row r="15" spans="1:12" ht="16" thickBot="1">
      <c r="B15" s="10"/>
    </row>
    <row r="16" spans="1:12">
      <c r="A16" s="12"/>
      <c r="B16" s="13">
        <v>2002</v>
      </c>
      <c r="C16" s="13">
        <v>2003</v>
      </c>
      <c r="D16" s="13">
        <v>2004</v>
      </c>
      <c r="E16" s="13">
        <v>2005</v>
      </c>
      <c r="F16" s="13">
        <v>2006</v>
      </c>
      <c r="G16" s="14">
        <v>2007</v>
      </c>
    </row>
    <row r="17" spans="1:12">
      <c r="A17" s="15" t="s">
        <v>96</v>
      </c>
      <c r="B17" s="16">
        <f>B18-1%</f>
        <v>0.66535262206148282</v>
      </c>
      <c r="C17" s="16">
        <f t="shared" ref="C17:G18" si="0">C18-1%</f>
        <v>0.65918088737201352</v>
      </c>
      <c r="D17" s="16">
        <f>D18-1%</f>
        <v>0.64988727858293072</v>
      </c>
      <c r="E17" s="16">
        <f t="shared" si="0"/>
        <v>0.64009104704097108</v>
      </c>
      <c r="F17" s="16">
        <f t="shared" si="0"/>
        <v>0.63042979942693411</v>
      </c>
      <c r="G17" s="17">
        <f t="shared" si="0"/>
        <v>0.63042979942693411</v>
      </c>
    </row>
    <row r="18" spans="1:12">
      <c r="A18" s="15" t="s">
        <v>97</v>
      </c>
      <c r="B18" s="16">
        <f>B19-1%</f>
        <v>0.67535262206148283</v>
      </c>
      <c r="C18" s="16">
        <f t="shared" si="0"/>
        <v>0.66918088737201353</v>
      </c>
      <c r="D18" s="16">
        <f>D19-1%</f>
        <v>0.65988727858293073</v>
      </c>
      <c r="E18" s="16">
        <f t="shared" si="0"/>
        <v>0.65009104704097109</v>
      </c>
      <c r="F18" s="16">
        <f t="shared" si="0"/>
        <v>0.64042979942693412</v>
      </c>
      <c r="G18" s="17">
        <f t="shared" si="0"/>
        <v>0.64042979942693412</v>
      </c>
    </row>
    <row r="19" spans="1:12">
      <c r="A19" s="15" t="s">
        <v>98</v>
      </c>
      <c r="B19" s="18">
        <f>(37.9/55.3)</f>
        <v>0.68535262206148284</v>
      </c>
      <c r="C19" s="18">
        <f>39.8/58.6</f>
        <v>0.67918088737201354</v>
      </c>
      <c r="D19" s="18">
        <f>41.6/62.1</f>
        <v>0.66988727858293073</v>
      </c>
      <c r="E19" s="18">
        <f>43.5/65.9</f>
        <v>0.6600910470409711</v>
      </c>
      <c r="F19" s="18">
        <f>45.4/69.8</f>
        <v>0.65042979942693413</v>
      </c>
      <c r="G19" s="19">
        <f>45.4/69.8</f>
        <v>0.65042979942693413</v>
      </c>
    </row>
    <row r="20" spans="1:12">
      <c r="A20" s="15" t="s">
        <v>99</v>
      </c>
      <c r="B20" s="16">
        <f>B19+1%</f>
        <v>0.69535262206148285</v>
      </c>
      <c r="C20" s="16">
        <f t="shared" ref="C20:G21" si="1">C19+1%</f>
        <v>0.68918088737201355</v>
      </c>
      <c r="D20" s="16">
        <f t="shared" si="1"/>
        <v>0.67988727858293074</v>
      </c>
      <c r="E20" s="16">
        <f t="shared" si="1"/>
        <v>0.67009104704097111</v>
      </c>
      <c r="F20" s="16">
        <f>F19+1%</f>
        <v>0.66042979942693414</v>
      </c>
      <c r="G20" s="17">
        <f t="shared" si="1"/>
        <v>0.66042979942693414</v>
      </c>
    </row>
    <row r="21" spans="1:12" ht="16" thickBot="1">
      <c r="A21" s="20" t="s">
        <v>100</v>
      </c>
      <c r="B21" s="21">
        <f>B20+1%</f>
        <v>0.70535262206148286</v>
      </c>
      <c r="C21" s="21">
        <f t="shared" si="1"/>
        <v>0.69918088737201356</v>
      </c>
      <c r="D21" s="21">
        <f t="shared" si="1"/>
        <v>0.68988727858293075</v>
      </c>
      <c r="E21" s="21">
        <f t="shared" si="1"/>
        <v>0.68009104704097112</v>
      </c>
      <c r="F21" s="21">
        <f t="shared" si="1"/>
        <v>0.67042979942693415</v>
      </c>
      <c r="G21" s="22">
        <f t="shared" si="1"/>
        <v>0.67042979942693415</v>
      </c>
    </row>
    <row r="22" spans="1:12">
      <c r="B22" s="10"/>
    </row>
    <row r="23" spans="1:12" ht="16" thickBot="1">
      <c r="B23" s="10"/>
    </row>
    <row r="24" spans="1:12" ht="16" thickBot="1">
      <c r="A24" s="114" t="s">
        <v>101</v>
      </c>
      <c r="B24" s="115"/>
      <c r="C24" s="115"/>
      <c r="D24" s="115"/>
      <c r="E24" s="115"/>
      <c r="F24" s="115"/>
      <c r="G24" s="116"/>
      <c r="H24" s="11" t="s">
        <v>95</v>
      </c>
      <c r="I24" s="11">
        <v>3</v>
      </c>
    </row>
    <row r="25" spans="1:12" ht="16" thickBot="1">
      <c r="B25" s="10"/>
    </row>
    <row r="26" spans="1:12">
      <c r="A26" s="12"/>
      <c r="B26" s="23">
        <v>2002</v>
      </c>
      <c r="C26" s="23">
        <v>2003</v>
      </c>
      <c r="D26" s="23">
        <v>2004</v>
      </c>
      <c r="E26" s="23">
        <v>2005</v>
      </c>
      <c r="F26" s="23">
        <v>2006</v>
      </c>
      <c r="G26" s="24">
        <v>2007</v>
      </c>
    </row>
    <row r="27" spans="1:12">
      <c r="A27" s="25" t="s">
        <v>96</v>
      </c>
      <c r="B27" s="16">
        <f>B28-1%</f>
        <v>0.2024231464737794</v>
      </c>
      <c r="C27" s="16">
        <f t="shared" ref="C27:G28" si="2">C28-1%</f>
        <v>0.1898976109215017</v>
      </c>
      <c r="D27" s="16">
        <f t="shared" si="2"/>
        <v>0.17967793880837357</v>
      </c>
      <c r="E27" s="16">
        <f t="shared" si="2"/>
        <v>0.18128824476650562</v>
      </c>
      <c r="F27" s="16">
        <f t="shared" si="2"/>
        <v>0.17054441260744985</v>
      </c>
      <c r="G27" s="17">
        <f t="shared" si="2"/>
        <v>0.17054441260744985</v>
      </c>
    </row>
    <row r="28" spans="1:12">
      <c r="A28" s="25" t="s">
        <v>97</v>
      </c>
      <c r="B28" s="16">
        <f>B29-1%</f>
        <v>0.21242314647377941</v>
      </c>
      <c r="C28" s="16">
        <f t="shared" si="2"/>
        <v>0.19989761092150171</v>
      </c>
      <c r="D28" s="16">
        <f t="shared" si="2"/>
        <v>0.18967793880837358</v>
      </c>
      <c r="E28" s="16">
        <f t="shared" si="2"/>
        <v>0.19128824476650563</v>
      </c>
      <c r="F28" s="16">
        <f t="shared" si="2"/>
        <v>0.18054441260744986</v>
      </c>
      <c r="G28" s="17">
        <f t="shared" si="2"/>
        <v>0.18054441260744986</v>
      </c>
    </row>
    <row r="29" spans="1:12">
      <c r="A29" s="25" t="s">
        <v>98</v>
      </c>
      <c r="B29" s="18">
        <f>12.3/55.3</f>
        <v>0.22242314647377942</v>
      </c>
      <c r="C29" s="18">
        <f>12.3/58.6</f>
        <v>0.20989761092150172</v>
      </c>
      <c r="D29" s="18">
        <f>12.4/62.1</f>
        <v>0.19967793880837359</v>
      </c>
      <c r="E29" s="18">
        <f>12.5/62.1</f>
        <v>0.20128824476650564</v>
      </c>
      <c r="F29" s="18">
        <f>13.3/69.8</f>
        <v>0.19054441260744986</v>
      </c>
      <c r="G29" s="19">
        <f>13.3/69.8</f>
        <v>0.19054441260744986</v>
      </c>
    </row>
    <row r="30" spans="1:12">
      <c r="A30" s="25" t="s">
        <v>99</v>
      </c>
      <c r="B30" s="16">
        <f>B29+1%</f>
        <v>0.23242314647377943</v>
      </c>
      <c r="C30" s="16">
        <f t="shared" ref="C30:G31" si="3">C29+1%</f>
        <v>0.21989761092150173</v>
      </c>
      <c r="D30" s="16">
        <f t="shared" si="3"/>
        <v>0.2096779388083736</v>
      </c>
      <c r="E30" s="16">
        <f t="shared" si="3"/>
        <v>0.21128824476650565</v>
      </c>
      <c r="F30" s="16">
        <f t="shared" si="3"/>
        <v>0.20054441260744987</v>
      </c>
      <c r="G30" s="17">
        <f t="shared" si="3"/>
        <v>0.20054441260744987</v>
      </c>
      <c r="L30" s="10"/>
    </row>
    <row r="31" spans="1:12" ht="16" thickBot="1">
      <c r="A31" s="26" t="s">
        <v>100</v>
      </c>
      <c r="B31" s="21">
        <f>B30+1%</f>
        <v>0.24242314647377944</v>
      </c>
      <c r="C31" s="21">
        <f t="shared" si="3"/>
        <v>0.22989761092150174</v>
      </c>
      <c r="D31" s="21">
        <f t="shared" si="3"/>
        <v>0.21967793880837361</v>
      </c>
      <c r="E31" s="21">
        <f t="shared" si="3"/>
        <v>0.22128824476650566</v>
      </c>
      <c r="F31" s="21">
        <f t="shared" si="3"/>
        <v>0.21054441260744988</v>
      </c>
      <c r="G31" s="22">
        <f t="shared" si="3"/>
        <v>0.21054441260744988</v>
      </c>
      <c r="L31" s="10"/>
    </row>
    <row r="32" spans="1:12">
      <c r="B32" s="10"/>
    </row>
    <row r="33" spans="1:10">
      <c r="B33" s="10"/>
    </row>
    <row r="34" spans="1:10" ht="16" thickBot="1"/>
    <row r="35" spans="1:10" ht="16" thickBot="1">
      <c r="B35" s="117" t="s">
        <v>102</v>
      </c>
      <c r="C35" s="118"/>
      <c r="D35" s="118"/>
      <c r="E35" s="118"/>
      <c r="F35" s="118"/>
      <c r="G35" s="118"/>
      <c r="H35" s="118"/>
      <c r="I35" s="118"/>
      <c r="J35" s="119"/>
    </row>
    <row r="36" spans="1:10">
      <c r="B36" s="10"/>
    </row>
    <row r="37" spans="1:10" ht="16" thickBot="1"/>
    <row r="38" spans="1:10" ht="17" thickBot="1">
      <c r="B38" s="27"/>
      <c r="C38" s="120" t="s">
        <v>103</v>
      </c>
      <c r="D38" s="121"/>
      <c r="E38" s="121"/>
      <c r="F38" s="121"/>
      <c r="G38" s="121"/>
      <c r="H38" s="121"/>
      <c r="I38" s="121"/>
      <c r="J38" s="122"/>
    </row>
    <row r="39" spans="1:10" ht="16" thickBot="1">
      <c r="B39" s="28">
        <v>60.48</v>
      </c>
      <c r="C39" s="29">
        <v>0</v>
      </c>
      <c r="D39" s="29">
        <v>0.01</v>
      </c>
      <c r="E39" s="30">
        <v>0.02</v>
      </c>
      <c r="F39" s="29">
        <v>0.03</v>
      </c>
      <c r="G39" s="29">
        <v>0.04</v>
      </c>
      <c r="H39" s="29">
        <v>0.05</v>
      </c>
      <c r="I39" s="29">
        <v>0.06</v>
      </c>
      <c r="J39" s="31">
        <v>6.5000000000000002E-2</v>
      </c>
    </row>
    <row r="40" spans="1:10">
      <c r="A40" s="110" t="s">
        <v>55</v>
      </c>
      <c r="B40" s="32">
        <v>7.4999999999999997E-2</v>
      </c>
      <c r="C40" s="33">
        <v>57.904593025630348</v>
      </c>
      <c r="D40" s="33">
        <v>65.490403343801518</v>
      </c>
      <c r="E40" s="33">
        <v>75.834690141307647</v>
      </c>
      <c r="F40" s="33">
        <v>90.776437737705393</v>
      </c>
      <c r="G40" s="33">
        <v>114.256326817759</v>
      </c>
      <c r="H40" s="33">
        <v>156.5201271618555</v>
      </c>
      <c r="I40" s="33">
        <v>255.13566129808061</v>
      </c>
      <c r="J40" s="33">
        <v>378.40507896836226</v>
      </c>
    </row>
    <row r="41" spans="1:10">
      <c r="A41" s="111"/>
      <c r="B41" s="34">
        <v>0.08</v>
      </c>
      <c r="C41" s="33">
        <v>53.623171913321826</v>
      </c>
      <c r="D41" s="33">
        <v>60.075435724359203</v>
      </c>
      <c r="E41" s="33">
        <v>68.678454139075711</v>
      </c>
      <c r="F41" s="33">
        <v>80.722679919678825</v>
      </c>
      <c r="G41" s="33">
        <v>98.789018590583495</v>
      </c>
      <c r="H41" s="33">
        <v>128.89958304209131</v>
      </c>
      <c r="I41" s="33">
        <v>189.12071194510679</v>
      </c>
      <c r="J41" s="33">
        <v>249.34184084812239</v>
      </c>
    </row>
    <row r="42" spans="1:10">
      <c r="A42" s="111"/>
      <c r="B42" s="34">
        <v>8.5000000000000006E-2</v>
      </c>
      <c r="C42" s="33">
        <v>49.859847493213934</v>
      </c>
      <c r="D42" s="33">
        <v>55.398320460552895</v>
      </c>
      <c r="E42" s="33">
        <v>62.640938956303842</v>
      </c>
      <c r="F42" s="33">
        <v>72.5172369050551</v>
      </c>
      <c r="G42" s="33">
        <v>86.783000608806958</v>
      </c>
      <c r="H42" s="33">
        <v>109.20062928613129</v>
      </c>
      <c r="I42" s="33">
        <v>149.55236090531506</v>
      </c>
      <c r="J42" s="33">
        <v>184.86012607210088</v>
      </c>
    </row>
    <row r="43" spans="1:10">
      <c r="A43" s="111"/>
      <c r="B43" s="35">
        <v>8.6999999999999994E-2</v>
      </c>
      <c r="C43" s="33">
        <v>48.479495074531883</v>
      </c>
      <c r="D43" s="33">
        <v>53.701787925233468</v>
      </c>
      <c r="E43" s="36">
        <v>60.482974164204165</v>
      </c>
      <c r="F43" s="33">
        <v>69.643523995796173</v>
      </c>
      <c r="G43" s="33">
        <v>82.702180138703923</v>
      </c>
      <c r="H43" s="33">
        <v>102.8195693318321</v>
      </c>
      <c r="I43" s="33">
        <v>137.83872829764778</v>
      </c>
      <c r="J43" s="33">
        <v>167.28665742799282</v>
      </c>
    </row>
    <row r="44" spans="1:10">
      <c r="A44" s="111"/>
      <c r="B44" s="37">
        <v>0.09</v>
      </c>
      <c r="C44" s="33">
        <v>46.527924629886087</v>
      </c>
      <c r="D44" s="33">
        <v>51.320334282246719</v>
      </c>
      <c r="E44" s="33">
        <v>57.482003835281816</v>
      </c>
      <c r="F44" s="33">
        <v>65.69756323932863</v>
      </c>
      <c r="G44" s="33">
        <v>77.199346404994159</v>
      </c>
      <c r="H44" s="33">
        <v>94.452021153492495</v>
      </c>
      <c r="I44" s="33">
        <v>123.20647906765632</v>
      </c>
      <c r="J44" s="33">
        <v>146.21004539898743</v>
      </c>
    </row>
    <row r="45" spans="1:10">
      <c r="A45" s="111"/>
      <c r="B45" s="34">
        <v>9.5000000000000001E-2</v>
      </c>
      <c r="C45" s="33">
        <v>43.558969737567942</v>
      </c>
      <c r="D45" s="33">
        <v>47.735405380042479</v>
      </c>
      <c r="E45" s="33">
        <v>53.025557193843568</v>
      </c>
      <c r="F45" s="33">
        <v>59.9434480272757</v>
      </c>
      <c r="G45" s="33">
        <v>69.37693552741051</v>
      </c>
      <c r="H45" s="33">
        <v>83.003084138716332</v>
      </c>
      <c r="I45" s="33">
        <v>104.415603385054</v>
      </c>
      <c r="J45" s="33">
        <v>120.4749928198073</v>
      </c>
    </row>
    <row r="46" spans="1:10" ht="16" thickBot="1">
      <c r="A46" s="112"/>
      <c r="B46" s="37">
        <v>0.1</v>
      </c>
      <c r="C46" s="33">
        <v>40.898245061819992</v>
      </c>
      <c r="D46" s="33">
        <v>44.561043202938542</v>
      </c>
      <c r="E46" s="33">
        <v>49.139540879336735</v>
      </c>
      <c r="F46" s="33">
        <v>55.02618074899155</v>
      </c>
      <c r="G46" s="33">
        <v>62.875033908531329</v>
      </c>
      <c r="H46" s="33">
        <v>73.863428331887008</v>
      </c>
      <c r="I46" s="33">
        <v>90.346019966920494</v>
      </c>
      <c r="J46" s="33">
        <v>102.11929970623017</v>
      </c>
    </row>
    <row r="48" spans="1:10" ht="16" thickBot="1"/>
    <row r="49" spans="1:10" ht="16" thickBot="1">
      <c r="B49" s="117" t="s">
        <v>104</v>
      </c>
      <c r="C49" s="118"/>
      <c r="D49" s="118"/>
      <c r="E49" s="118"/>
      <c r="F49" s="118"/>
      <c r="G49" s="118"/>
      <c r="H49" s="118"/>
      <c r="I49" s="118"/>
      <c r="J49" s="119"/>
    </row>
    <row r="51" spans="1:10" ht="16" thickBot="1"/>
    <row r="52" spans="1:10" ht="16" thickBot="1">
      <c r="C52" s="123" t="s">
        <v>105</v>
      </c>
      <c r="D52" s="124"/>
      <c r="E52" s="124"/>
      <c r="F52" s="124"/>
      <c r="G52" s="124"/>
      <c r="H52" s="125"/>
    </row>
    <row r="53" spans="1:10">
      <c r="A53" s="126" t="s">
        <v>106</v>
      </c>
      <c r="B53" s="28">
        <v>60.48</v>
      </c>
      <c r="C53" s="38">
        <v>7.0000000000000007E-2</v>
      </c>
      <c r="D53" s="39">
        <v>7.4999999999999997E-2</v>
      </c>
      <c r="E53" s="40">
        <v>7.9600000000000004E-2</v>
      </c>
      <c r="F53" s="38">
        <v>0.08</v>
      </c>
      <c r="G53" s="39">
        <v>8.5000000000000006E-2</v>
      </c>
      <c r="H53" s="38">
        <v>0.09</v>
      </c>
    </row>
    <row r="54" spans="1:10">
      <c r="A54" s="127"/>
      <c r="B54" s="37">
        <v>0.1</v>
      </c>
      <c r="C54" s="33">
        <v>70.639651558521749</v>
      </c>
      <c r="D54" s="33">
        <v>69.139704555591848</v>
      </c>
      <c r="E54" s="33">
        <v>67.809056752764363</v>
      </c>
      <c r="F54" s="33">
        <v>67.695499466579605</v>
      </c>
      <c r="G54" s="33">
        <v>66.304030913002549</v>
      </c>
      <c r="H54" s="33">
        <v>64.962505425955769</v>
      </c>
    </row>
    <row r="55" spans="1:10">
      <c r="A55" s="127"/>
      <c r="B55" s="34">
        <v>0.105</v>
      </c>
      <c r="C55" s="33">
        <v>66.526210607629181</v>
      </c>
      <c r="D55" s="33">
        <v>65.176767749413543</v>
      </c>
      <c r="E55" s="33">
        <v>63.977513968225054</v>
      </c>
      <c r="F55" s="33">
        <v>63.875077212283273</v>
      </c>
      <c r="G55" s="33">
        <v>62.618688499970837</v>
      </c>
      <c r="H55" s="33">
        <v>61.405315676013032</v>
      </c>
    </row>
    <row r="56" spans="1:10">
      <c r="A56" s="127"/>
      <c r="B56" s="41">
        <v>0.11</v>
      </c>
      <c r="C56" s="33">
        <v>62.819446756098081</v>
      </c>
      <c r="D56" s="33">
        <v>61.599247234848995</v>
      </c>
      <c r="E56" s="36">
        <v>60.513115267151484</v>
      </c>
      <c r="F56" s="33">
        <v>60.420265120797637</v>
      </c>
      <c r="G56" s="33">
        <v>59.280482459055129</v>
      </c>
      <c r="H56" s="33">
        <v>58.178010651098731</v>
      </c>
    </row>
    <row r="57" spans="1:10">
      <c r="A57" s="127"/>
      <c r="B57" s="34">
        <v>0.115</v>
      </c>
      <c r="C57" s="33">
        <v>59.462729239872559</v>
      </c>
      <c r="D57" s="33">
        <v>58.354330245546649</v>
      </c>
      <c r="E57" s="33">
        <v>57.366280135023956</v>
      </c>
      <c r="F57" s="33">
        <v>57.281751900848519</v>
      </c>
      <c r="G57" s="33">
        <v>56.243317440560389</v>
      </c>
      <c r="H57" s="33">
        <v>55.237452914333772</v>
      </c>
    </row>
    <row r="58" spans="1:10" ht="16" thickBot="1">
      <c r="A58" s="128"/>
      <c r="B58" s="37">
        <v>0.12</v>
      </c>
      <c r="C58" s="33">
        <v>56.409459418715869</v>
      </c>
      <c r="D58" s="33">
        <v>55.398416159656193</v>
      </c>
      <c r="E58" s="33">
        <v>54.495955965758455</v>
      </c>
      <c r="F58" s="33">
        <v>54.418697605035852</v>
      </c>
      <c r="G58" s="33">
        <v>53.468899032948407</v>
      </c>
      <c r="H58" s="33">
        <v>52.547698269302742</v>
      </c>
    </row>
    <row r="60" spans="1:10" ht="16" thickBot="1"/>
    <row r="61" spans="1:10" ht="16" thickBot="1">
      <c r="B61" s="117" t="s">
        <v>107</v>
      </c>
      <c r="C61" s="118"/>
      <c r="D61" s="118"/>
      <c r="E61" s="118"/>
      <c r="F61" s="118"/>
      <c r="G61" s="119"/>
      <c r="H61" s="11"/>
      <c r="I61" s="11"/>
      <c r="J61" s="11"/>
    </row>
    <row r="62" spans="1:10" ht="16" thickBot="1"/>
    <row r="63" spans="1:10" ht="16" thickBot="1">
      <c r="B63" s="42"/>
      <c r="C63" s="129" t="s">
        <v>108</v>
      </c>
      <c r="D63" s="130"/>
      <c r="E63" s="130"/>
      <c r="F63" s="130"/>
      <c r="G63" s="131"/>
    </row>
    <row r="64" spans="1:10" ht="16" thickBot="1">
      <c r="B64" s="28">
        <v>60.48</v>
      </c>
      <c r="C64" s="43">
        <v>0.04</v>
      </c>
      <c r="D64" s="43">
        <v>0.05</v>
      </c>
      <c r="E64" s="44">
        <v>0.06</v>
      </c>
      <c r="F64" s="43">
        <v>7.0000000000000007E-2</v>
      </c>
      <c r="G64" s="43">
        <v>0.08</v>
      </c>
    </row>
    <row r="65" spans="1:8">
      <c r="A65" s="126" t="s">
        <v>55</v>
      </c>
      <c r="B65" s="32">
        <v>7.4999999999999997E-2</v>
      </c>
      <c r="C65" s="33">
        <v>69.879230974063091</v>
      </c>
      <c r="D65" s="33">
        <v>72.815607650123539</v>
      </c>
      <c r="E65" s="33">
        <v>75.834690141307647</v>
      </c>
      <c r="F65" s="33">
        <v>78.938036408902875</v>
      </c>
      <c r="G65" s="33">
        <v>82.12721903714808</v>
      </c>
    </row>
    <row r="66" spans="1:8">
      <c r="A66" s="127"/>
      <c r="B66" s="34">
        <v>0.08</v>
      </c>
      <c r="C66" s="33">
        <v>63.417824150747798</v>
      </c>
      <c r="D66" s="33">
        <v>66.011689687969465</v>
      </c>
      <c r="E66" s="33">
        <v>68.678454139075711</v>
      </c>
      <c r="F66" s="33">
        <v>71.419488982838644</v>
      </c>
      <c r="G66" s="33">
        <v>74.236178560405904</v>
      </c>
    </row>
    <row r="67" spans="1:8">
      <c r="A67" s="127"/>
      <c r="B67" s="34">
        <v>8.5000000000000006E-2</v>
      </c>
      <c r="C67" s="33">
        <v>57.964332427000045</v>
      </c>
      <c r="D67" s="33">
        <v>60.270299760254389</v>
      </c>
      <c r="E67" s="33">
        <v>62.640938956303842</v>
      </c>
      <c r="F67" s="33">
        <v>65.077465211819543</v>
      </c>
      <c r="G67" s="33">
        <v>67.581105111311345</v>
      </c>
    </row>
    <row r="68" spans="1:8">
      <c r="A68" s="127"/>
      <c r="B68" s="45">
        <v>8.6999999999999994E-2</v>
      </c>
      <c r="C68" s="33">
        <v>56.014530637884299</v>
      </c>
      <c r="D68" s="33">
        <v>58.21788054016438</v>
      </c>
      <c r="E68" s="46">
        <v>60.482974164204165</v>
      </c>
      <c r="F68" s="33">
        <v>62.810971125296255</v>
      </c>
      <c r="G68" s="33">
        <v>65.203041902397885</v>
      </c>
    </row>
    <row r="69" spans="1:8">
      <c r="A69" s="127"/>
      <c r="B69" s="37">
        <v>0.09</v>
      </c>
      <c r="C69" s="33">
        <v>53.302454382117119</v>
      </c>
      <c r="D69" s="33">
        <v>55.363387004803222</v>
      </c>
      <c r="E69" s="33">
        <v>57.482003835281816</v>
      </c>
      <c r="F69" s="33">
        <v>59.659387473974498</v>
      </c>
      <c r="G69" s="33">
        <v>61.896630658901096</v>
      </c>
    </row>
    <row r="70" spans="1:8">
      <c r="A70" s="127"/>
      <c r="B70" s="34">
        <v>9.5000000000000001E-2</v>
      </c>
      <c r="C70" s="33">
        <v>49.273577868674444</v>
      </c>
      <c r="D70" s="33">
        <v>51.123724360709645</v>
      </c>
      <c r="E70" s="33">
        <v>53.025557193843568</v>
      </c>
      <c r="F70" s="33">
        <v>54.980045282119647</v>
      </c>
      <c r="G70" s="33">
        <v>56.988166605972978</v>
      </c>
    </row>
    <row r="71" spans="1:8" ht="16" thickBot="1">
      <c r="A71" s="128"/>
      <c r="B71" s="37">
        <v>0.1</v>
      </c>
      <c r="C71" s="33">
        <v>45.758751827050119</v>
      </c>
      <c r="D71" s="33">
        <v>47.425900798325102</v>
      </c>
      <c r="E71" s="33">
        <v>49.139540879336735</v>
      </c>
      <c r="F71" s="33">
        <v>50.900542626870049</v>
      </c>
      <c r="G71" s="33">
        <v>52.709784737994354</v>
      </c>
    </row>
    <row r="73" spans="1:8" ht="16" thickBot="1"/>
    <row r="74" spans="1:8" ht="16" thickBot="1">
      <c r="B74" s="117" t="s">
        <v>109</v>
      </c>
      <c r="C74" s="118"/>
      <c r="D74" s="118"/>
      <c r="E74" s="118"/>
      <c r="F74" s="118"/>
      <c r="G74" s="118"/>
      <c r="H74" s="119"/>
    </row>
    <row r="75" spans="1:8" ht="16" thickBot="1"/>
    <row r="76" spans="1:8" ht="16" thickBot="1">
      <c r="C76" s="123" t="s">
        <v>105</v>
      </c>
      <c r="D76" s="124"/>
      <c r="E76" s="124"/>
      <c r="F76" s="124"/>
      <c r="G76" s="124"/>
      <c r="H76" s="125"/>
    </row>
    <row r="77" spans="1:8" ht="16" thickBot="1">
      <c r="B77" s="28">
        <v>60.48</v>
      </c>
      <c r="C77" s="38">
        <v>7.0000000000000007E-2</v>
      </c>
      <c r="D77" s="39">
        <v>7.4999999999999997E-2</v>
      </c>
      <c r="E77" s="47">
        <v>7.9600000000000004E-2</v>
      </c>
      <c r="F77" s="38">
        <v>0.08</v>
      </c>
      <c r="G77" s="39">
        <v>8.5000000000000006E-2</v>
      </c>
      <c r="H77" s="38">
        <v>0.09</v>
      </c>
    </row>
    <row r="78" spans="1:8">
      <c r="A78" s="132" t="s">
        <v>103</v>
      </c>
      <c r="B78" s="37">
        <v>0</v>
      </c>
      <c r="C78" s="33">
        <v>49.951899781028771</v>
      </c>
      <c r="D78" s="33">
        <v>49.175174904409474</v>
      </c>
      <c r="E78" s="33">
        <v>48.478686567587168</v>
      </c>
      <c r="F78" s="33">
        <v>48.418921048861627</v>
      </c>
      <c r="G78" s="33">
        <v>47.68236156490164</v>
      </c>
      <c r="H78" s="33">
        <v>46.964758439070259</v>
      </c>
    </row>
    <row r="79" spans="1:8">
      <c r="A79" s="133"/>
      <c r="B79" s="37">
        <v>0.01</v>
      </c>
      <c r="C79" s="33">
        <v>55.511817776487533</v>
      </c>
      <c r="D79" s="33">
        <v>54.555556206094018</v>
      </c>
      <c r="E79" s="33">
        <v>53.700797178704306</v>
      </c>
      <c r="F79" s="33">
        <v>53.627569907166148</v>
      </c>
      <c r="G79" s="33">
        <v>52.726650725903603</v>
      </c>
      <c r="H79" s="33">
        <v>51.851658171816325</v>
      </c>
    </row>
    <row r="80" spans="1:8">
      <c r="A80" s="133"/>
      <c r="B80" s="48">
        <v>0.02</v>
      </c>
      <c r="C80" s="33">
        <v>62.785908115235557</v>
      </c>
      <c r="D80" s="33">
        <v>61.566850300044294</v>
      </c>
      <c r="E80" s="46">
        <v>60.481718859210403</v>
      </c>
      <c r="F80" s="33">
        <v>60.388953557035592</v>
      </c>
      <c r="G80" s="33">
        <v>59.250203570483876</v>
      </c>
      <c r="H80" s="33">
        <v>58.14871509190796</v>
      </c>
    </row>
    <row r="81" spans="1:9">
      <c r="A81" s="133"/>
      <c r="B81" s="37">
        <v>0.03</v>
      </c>
      <c r="C81" s="33">
        <v>72.711389136960833</v>
      </c>
      <c r="D81" s="33">
        <v>71.08307261619899</v>
      </c>
      <c r="E81" s="33">
        <v>69.641861215950016</v>
      </c>
      <c r="F81" s="33">
        <v>69.519012509013791</v>
      </c>
      <c r="G81" s="33">
        <v>68.015527152033272</v>
      </c>
      <c r="H81" s="33">
        <v>66.569210528300943</v>
      </c>
    </row>
    <row r="82" spans="1:9">
      <c r="A82" s="133"/>
      <c r="B82" s="37">
        <v>0.04</v>
      </c>
      <c r="C82" s="33">
        <v>87.06097580688099</v>
      </c>
      <c r="D82" s="33">
        <v>84.738582586183497</v>
      </c>
      <c r="E82" s="33">
        <v>82.699836971300556</v>
      </c>
      <c r="F82" s="33">
        <v>82.526777535308483</v>
      </c>
      <c r="G82" s="33">
        <v>80.417914460366688</v>
      </c>
      <c r="H82" s="33">
        <v>78.405035689452802</v>
      </c>
    </row>
    <row r="83" spans="1:9">
      <c r="A83" s="133"/>
      <c r="B83" s="37">
        <v>0.05</v>
      </c>
      <c r="C83" s="33">
        <v>109.64089609878003</v>
      </c>
      <c r="D83" s="33">
        <v>105.98470399028949</v>
      </c>
      <c r="E83" s="33">
        <v>102.81594908728292</v>
      </c>
      <c r="F83" s="33">
        <v>102.54870542291066</v>
      </c>
      <c r="G83" s="33">
        <v>99.313698265209752</v>
      </c>
      <c r="H83" s="33">
        <v>96.262649281615495</v>
      </c>
    </row>
    <row r="84" spans="1:9" ht="16" thickBot="1">
      <c r="A84" s="134"/>
      <c r="B84" s="37">
        <v>0.06</v>
      </c>
      <c r="C84" s="33">
        <v>150.37917609465899</v>
      </c>
      <c r="D84" s="33">
        <v>143.58657705267564</v>
      </c>
      <c r="E84" s="33">
        <v>137.83222276347919</v>
      </c>
      <c r="F84" s="33">
        <v>137.35241838810759</v>
      </c>
      <c r="G84" s="33">
        <v>131.61074717987054</v>
      </c>
      <c r="H84" s="33">
        <v>126.30560138770703</v>
      </c>
    </row>
    <row r="86" spans="1:9" ht="16" thickBot="1"/>
    <row r="87" spans="1:9" ht="16" thickBot="1">
      <c r="B87" s="117" t="s">
        <v>110</v>
      </c>
      <c r="C87" s="118"/>
      <c r="D87" s="118"/>
      <c r="E87" s="118"/>
      <c r="F87" s="118"/>
      <c r="G87" s="118"/>
      <c r="H87" s="119"/>
    </row>
    <row r="88" spans="1:9" ht="16" thickBot="1"/>
    <row r="89" spans="1:9" ht="16" thickBot="1">
      <c r="C89" s="123" t="s">
        <v>103</v>
      </c>
      <c r="D89" s="124"/>
      <c r="E89" s="124"/>
      <c r="F89" s="124"/>
      <c r="G89" s="124"/>
      <c r="H89" s="124"/>
      <c r="I89" s="125"/>
    </row>
    <row r="90" spans="1:9">
      <c r="B90" s="28">
        <v>60.48</v>
      </c>
      <c r="C90" s="49">
        <v>0</v>
      </c>
      <c r="D90" s="49">
        <v>0.01</v>
      </c>
      <c r="E90" s="50">
        <v>0.02</v>
      </c>
      <c r="F90" s="49">
        <v>0.03</v>
      </c>
      <c r="G90" s="49">
        <v>0.04</v>
      </c>
      <c r="H90" s="49">
        <v>0.05</v>
      </c>
      <c r="I90" s="49">
        <v>0.06</v>
      </c>
    </row>
    <row r="91" spans="1:9">
      <c r="A91" s="51" t="s">
        <v>96</v>
      </c>
      <c r="B91" s="52">
        <v>1</v>
      </c>
      <c r="C91" s="33">
        <v>58.609378637067728</v>
      </c>
      <c r="D91" s="33">
        <v>64.720454298325464</v>
      </c>
      <c r="E91" s="33">
        <v>72.655698977826944</v>
      </c>
      <c r="F91" s="33">
        <v>83.375181420569021</v>
      </c>
      <c r="G91" s="33">
        <v>98.656029293445712</v>
      </c>
      <c r="H91" s="33">
        <v>122.19652705490803</v>
      </c>
      <c r="I91" s="33">
        <v>163.17365560423323</v>
      </c>
    </row>
    <row r="92" spans="1:9">
      <c r="A92" s="51" t="s">
        <v>97</v>
      </c>
      <c r="B92" s="52">
        <v>2</v>
      </c>
      <c r="C92" s="33">
        <v>53.544032602327455</v>
      </c>
      <c r="D92" s="33">
        <v>59.210625738514899</v>
      </c>
      <c r="E92" s="33">
        <v>66.568708918518695</v>
      </c>
      <c r="F92" s="33">
        <v>76.508521318259554</v>
      </c>
      <c r="G92" s="33">
        <v>90.67793313237317</v>
      </c>
      <c r="H92" s="33">
        <v>112.5062380710955</v>
      </c>
      <c r="I92" s="33">
        <v>150.50293918385628</v>
      </c>
    </row>
    <row r="93" spans="1:9">
      <c r="A93" s="53" t="s">
        <v>98</v>
      </c>
      <c r="B93" s="52">
        <v>3</v>
      </c>
      <c r="C93" s="33">
        <v>48.478686567587168</v>
      </c>
      <c r="D93" s="33">
        <v>53.700797178704306</v>
      </c>
      <c r="E93" s="46">
        <v>60.481718859210403</v>
      </c>
      <c r="F93" s="33">
        <v>69.641861215950016</v>
      </c>
      <c r="G93" s="33">
        <v>82.699836971300556</v>
      </c>
      <c r="H93" s="33">
        <v>102.81594908728292</v>
      </c>
      <c r="I93" s="33">
        <v>137.83222276347919</v>
      </c>
    </row>
    <row r="94" spans="1:9">
      <c r="A94" s="51" t="s">
        <v>99</v>
      </c>
      <c r="B94" s="52">
        <v>4</v>
      </c>
      <c r="C94" s="33">
        <v>43.413340532846931</v>
      </c>
      <c r="D94" s="33">
        <v>48.190968618893784</v>
      </c>
      <c r="E94" s="33">
        <v>54.39472879990219</v>
      </c>
      <c r="F94" s="33">
        <v>62.775201113640549</v>
      </c>
      <c r="G94" s="33">
        <v>74.721740810228042</v>
      </c>
      <c r="H94" s="33">
        <v>93.125660103470466</v>
      </c>
      <c r="I94" s="33">
        <v>125.16150634310226</v>
      </c>
    </row>
    <row r="95" spans="1:9">
      <c r="A95" s="51" t="s">
        <v>100</v>
      </c>
      <c r="B95" s="52">
        <v>5</v>
      </c>
      <c r="C95" s="33">
        <v>38.347994498106679</v>
      </c>
      <c r="D95" s="33">
        <v>42.681140059083241</v>
      </c>
      <c r="E95" s="33">
        <v>48.307738740593933</v>
      </c>
      <c r="F95" s="33">
        <v>55.90854101133106</v>
      </c>
      <c r="G95" s="33">
        <v>66.74364464915547</v>
      </c>
      <c r="H95" s="33">
        <v>83.435371119657958</v>
      </c>
      <c r="I95" s="33">
        <v>112.4907899227253</v>
      </c>
    </row>
    <row r="97" spans="1:9" ht="16" thickBot="1"/>
    <row r="98" spans="1:9" ht="16" thickBot="1">
      <c r="B98" s="117" t="s">
        <v>111</v>
      </c>
      <c r="C98" s="118"/>
      <c r="D98" s="118"/>
      <c r="E98" s="118"/>
      <c r="F98" s="118"/>
      <c r="G98" s="118"/>
      <c r="H98" s="119"/>
    </row>
    <row r="99" spans="1:9" ht="16" thickBot="1"/>
    <row r="100" spans="1:9">
      <c r="C100" s="138" t="s">
        <v>55</v>
      </c>
      <c r="D100" s="139"/>
      <c r="E100" s="139"/>
      <c r="F100" s="139"/>
      <c r="G100" s="139"/>
      <c r="H100" s="139"/>
      <c r="I100" s="140"/>
    </row>
    <row r="101" spans="1:9">
      <c r="B101" s="28">
        <v>60.48</v>
      </c>
      <c r="C101" s="54">
        <v>7.4999999999999997E-2</v>
      </c>
      <c r="D101" s="54">
        <v>0.08</v>
      </c>
      <c r="E101" s="55">
        <v>8.6999999999999994E-2</v>
      </c>
      <c r="F101" s="54">
        <v>0.09</v>
      </c>
      <c r="G101" s="54">
        <v>9.5000000000000001E-2</v>
      </c>
      <c r="H101" s="54">
        <v>0.1</v>
      </c>
      <c r="I101" s="54">
        <v>0.105</v>
      </c>
    </row>
    <row r="102" spans="1:9">
      <c r="A102" s="51" t="s">
        <v>96</v>
      </c>
      <c r="B102" s="52">
        <v>1</v>
      </c>
      <c r="C102" s="33">
        <v>90.675161188059903</v>
      </c>
      <c r="D102" s="33">
        <v>82.278389847659085</v>
      </c>
      <c r="E102" s="33">
        <v>72.657173159675381</v>
      </c>
      <c r="F102" s="33">
        <v>69.132448223182422</v>
      </c>
      <c r="G102" s="33">
        <v>63.896172696055167</v>
      </c>
      <c r="H102" s="33">
        <v>59.327788437571257</v>
      </c>
      <c r="I102" s="33">
        <v>55.309122079587816</v>
      </c>
    </row>
    <row r="103" spans="1:9">
      <c r="A103" s="51" t="s">
        <v>97</v>
      </c>
      <c r="B103" s="52">
        <v>2</v>
      </c>
      <c r="C103" s="33">
        <v>83.254925664683782</v>
      </c>
      <c r="D103" s="33">
        <v>75.478421993367405</v>
      </c>
      <c r="E103" s="33">
        <v>66.570073661939787</v>
      </c>
      <c r="F103" s="33">
        <v>63.307226029232126</v>
      </c>
      <c r="G103" s="33">
        <v>58.460864944949371</v>
      </c>
      <c r="H103" s="33">
        <v>54.233664658454003</v>
      </c>
      <c r="I103" s="33">
        <v>50.51605044854989</v>
      </c>
    </row>
    <row r="104" spans="1:9">
      <c r="A104" s="53" t="s">
        <v>98</v>
      </c>
      <c r="B104" s="52">
        <v>3</v>
      </c>
      <c r="C104" s="33">
        <v>75.834690141307647</v>
      </c>
      <c r="D104" s="33">
        <v>68.678454139075711</v>
      </c>
      <c r="E104" s="46">
        <v>60.482974164204165</v>
      </c>
      <c r="F104" s="56">
        <v>57.482003835281816</v>
      </c>
      <c r="G104" s="33">
        <v>53.025557193843568</v>
      </c>
      <c r="H104" s="33">
        <v>49.139540879336735</v>
      </c>
      <c r="I104" s="33">
        <v>45.722978817511972</v>
      </c>
    </row>
    <row r="105" spans="1:9">
      <c r="A105" s="51" t="s">
        <v>99</v>
      </c>
      <c r="B105" s="52">
        <v>4</v>
      </c>
      <c r="C105" s="33">
        <v>68.414454617931526</v>
      </c>
      <c r="D105" s="33">
        <v>61.878486284784039</v>
      </c>
      <c r="E105" s="33">
        <v>54.395874666468572</v>
      </c>
      <c r="F105" s="33">
        <v>51.656781641331527</v>
      </c>
      <c r="G105" s="33">
        <v>47.59024944273775</v>
      </c>
      <c r="H105" s="33">
        <v>44.045417100219467</v>
      </c>
      <c r="I105" s="33">
        <v>40.929907186474047</v>
      </c>
    </row>
    <row r="106" spans="1:9">
      <c r="A106" s="51" t="s">
        <v>100</v>
      </c>
      <c r="B106" s="52">
        <v>5</v>
      </c>
      <c r="C106" s="33">
        <v>60.994219094555405</v>
      </c>
      <c r="D106" s="33">
        <v>55.078518430492338</v>
      </c>
      <c r="E106" s="33">
        <v>48.308775168732957</v>
      </c>
      <c r="F106" s="33">
        <v>45.831559447381231</v>
      </c>
      <c r="G106" s="33">
        <v>42.154941691631954</v>
      </c>
      <c r="H106" s="33">
        <v>38.951293321102213</v>
      </c>
      <c r="I106" s="33">
        <v>36.136835555436122</v>
      </c>
    </row>
    <row r="108" spans="1:9" ht="16" thickBot="1"/>
    <row r="109" spans="1:9" ht="16" thickBot="1">
      <c r="B109" s="117" t="s">
        <v>112</v>
      </c>
      <c r="C109" s="118"/>
      <c r="D109" s="118"/>
      <c r="E109" s="118"/>
      <c r="F109" s="118"/>
      <c r="G109" s="118"/>
      <c r="H109" s="119"/>
    </row>
    <row r="111" spans="1:9" ht="16" thickBot="1"/>
    <row r="112" spans="1:9">
      <c r="C112" s="138" t="s">
        <v>55</v>
      </c>
      <c r="D112" s="139"/>
      <c r="E112" s="139"/>
      <c r="F112" s="139"/>
      <c r="G112" s="139"/>
      <c r="H112" s="139"/>
      <c r="I112" s="140"/>
    </row>
    <row r="113" spans="1:9">
      <c r="B113" s="28">
        <v>60.48</v>
      </c>
      <c r="C113" s="54">
        <v>7.4999999999999997E-2</v>
      </c>
      <c r="D113" s="54">
        <v>0.08</v>
      </c>
      <c r="E113" s="55">
        <v>8.6999999999999994E-2</v>
      </c>
      <c r="F113" s="54">
        <v>0.09</v>
      </c>
      <c r="G113" s="54">
        <v>9.5000000000000001E-2</v>
      </c>
      <c r="H113" s="54">
        <v>0.1</v>
      </c>
      <c r="I113" s="54">
        <v>0.105</v>
      </c>
    </row>
    <row r="114" spans="1:9">
      <c r="A114" s="2" t="s">
        <v>96</v>
      </c>
      <c r="B114" s="52">
        <v>1</v>
      </c>
      <c r="C114" s="33">
        <v>90.675161188059946</v>
      </c>
      <c r="D114" s="33">
        <v>82.27838984765917</v>
      </c>
      <c r="E114" s="33">
        <v>72.657173159675423</v>
      </c>
      <c r="F114" s="33">
        <v>69.132448223182479</v>
      </c>
      <c r="G114" s="33">
        <v>63.896172696055203</v>
      </c>
      <c r="H114" s="33">
        <v>59.3277884375713</v>
      </c>
      <c r="I114" s="33">
        <v>55.309122079587837</v>
      </c>
    </row>
    <row r="115" spans="1:9">
      <c r="A115" s="2" t="s">
        <v>97</v>
      </c>
      <c r="B115" s="52">
        <v>2</v>
      </c>
      <c r="C115" s="33">
        <v>83.254925664683824</v>
      </c>
      <c r="D115" s="33">
        <v>75.478421993367434</v>
      </c>
      <c r="E115" s="33">
        <v>66.570073661939816</v>
      </c>
      <c r="F115" s="33">
        <v>63.307226029232162</v>
      </c>
      <c r="G115" s="33">
        <v>58.460864944949407</v>
      </c>
      <c r="H115" s="33">
        <v>54.233664658454032</v>
      </c>
      <c r="I115" s="33">
        <v>50.516050448549919</v>
      </c>
    </row>
    <row r="116" spans="1:9">
      <c r="A116" s="57" t="s">
        <v>98</v>
      </c>
      <c r="B116" s="52">
        <v>3</v>
      </c>
      <c r="C116" s="33">
        <v>75.834690141307647</v>
      </c>
      <c r="D116" s="33">
        <v>68.678454139075711</v>
      </c>
      <c r="E116" s="46">
        <v>60.482974164204165</v>
      </c>
      <c r="F116" s="56">
        <v>57.482003835281816</v>
      </c>
      <c r="G116" s="33">
        <v>53.025557193843568</v>
      </c>
      <c r="H116" s="33">
        <v>49.139540879336735</v>
      </c>
      <c r="I116" s="33">
        <v>45.722978817511972</v>
      </c>
    </row>
    <row r="117" spans="1:9">
      <c r="A117" s="2" t="s">
        <v>99</v>
      </c>
      <c r="B117" s="52">
        <v>4</v>
      </c>
      <c r="C117" s="33">
        <v>68.414454617931554</v>
      </c>
      <c r="D117" s="33">
        <v>61.878486284784039</v>
      </c>
      <c r="E117" s="33">
        <v>54.395874666468593</v>
      </c>
      <c r="F117" s="33">
        <v>51.656781641331555</v>
      </c>
      <c r="G117" s="33">
        <v>47.590249442737779</v>
      </c>
      <c r="H117" s="33">
        <v>44.045417100219488</v>
      </c>
      <c r="I117" s="33">
        <v>40.929907186474054</v>
      </c>
    </row>
    <row r="118" spans="1:9">
      <c r="A118" s="2" t="s">
        <v>100</v>
      </c>
      <c r="B118" s="52">
        <v>5</v>
      </c>
      <c r="C118" s="33">
        <v>60.994219094555426</v>
      </c>
      <c r="D118" s="33">
        <v>55.078518430492387</v>
      </c>
      <c r="E118" s="33">
        <v>48.308775168732978</v>
      </c>
      <c r="F118" s="33">
        <v>45.831559447381245</v>
      </c>
      <c r="G118" s="33">
        <v>42.154941691631976</v>
      </c>
      <c r="H118" s="33">
        <v>38.95129332110222</v>
      </c>
      <c r="I118" s="33">
        <v>36.136835555436136</v>
      </c>
    </row>
    <row r="120" spans="1:9" ht="16" thickBot="1"/>
    <row r="121" spans="1:9" ht="16" thickBot="1">
      <c r="B121" s="117" t="s">
        <v>113</v>
      </c>
      <c r="C121" s="118"/>
      <c r="D121" s="118"/>
      <c r="E121" s="118"/>
      <c r="F121" s="118"/>
      <c r="G121" s="118"/>
      <c r="H121" s="119"/>
    </row>
    <row r="122" spans="1:9" ht="16" thickBot="1"/>
    <row r="123" spans="1:9">
      <c r="B123" s="42"/>
      <c r="C123" s="135" t="s">
        <v>108</v>
      </c>
      <c r="D123" s="136"/>
      <c r="E123" s="136"/>
      <c r="F123" s="136"/>
      <c r="G123" s="137"/>
    </row>
    <row r="124" spans="1:9">
      <c r="B124" s="28">
        <v>60.48</v>
      </c>
      <c r="C124" s="58">
        <v>0.04</v>
      </c>
      <c r="D124" s="58">
        <v>0.05</v>
      </c>
      <c r="E124" s="59">
        <v>0.06</v>
      </c>
      <c r="F124" s="58">
        <v>7.0000000000000007E-2</v>
      </c>
      <c r="G124" s="58">
        <v>0.08</v>
      </c>
    </row>
    <row r="125" spans="1:9">
      <c r="A125" s="2" t="s">
        <v>96</v>
      </c>
      <c r="B125" s="52">
        <v>1</v>
      </c>
      <c r="C125" s="33">
        <v>67.368630008080004</v>
      </c>
      <c r="D125" s="33">
        <v>69.975748743308401</v>
      </c>
      <c r="E125" s="33">
        <v>72.655698977826901</v>
      </c>
      <c r="F125" s="33">
        <v>75.409846830475203</v>
      </c>
      <c r="G125" s="33">
        <v>78.239571209440243</v>
      </c>
      <c r="H125" s="42"/>
      <c r="I125" s="42"/>
    </row>
    <row r="126" spans="1:9">
      <c r="A126" s="2" t="s">
        <v>97</v>
      </c>
      <c r="B126" s="52">
        <v>2</v>
      </c>
      <c r="C126" s="33">
        <v>61.691013166108618</v>
      </c>
      <c r="D126" s="33">
        <v>64.096217662355812</v>
      </c>
      <c r="E126" s="33">
        <v>66.568708918518652</v>
      </c>
      <c r="F126" s="33">
        <v>69.109749785520748</v>
      </c>
      <c r="G126" s="33">
        <v>71.720614940639393</v>
      </c>
      <c r="H126" s="42"/>
      <c r="I126" s="42"/>
    </row>
    <row r="127" spans="1:9">
      <c r="A127" s="57" t="s">
        <v>98</v>
      </c>
      <c r="B127" s="52">
        <v>3</v>
      </c>
      <c r="C127" s="33">
        <v>56.013396324137204</v>
      </c>
      <c r="D127" s="33">
        <v>58.216686581403209</v>
      </c>
      <c r="E127" s="46">
        <v>60.481718859210403</v>
      </c>
      <c r="F127" s="56">
        <v>62.809652740566285</v>
      </c>
      <c r="G127" s="33">
        <v>65.201658671838558</v>
      </c>
      <c r="H127" s="42"/>
      <c r="I127" s="42"/>
    </row>
    <row r="128" spans="1:9">
      <c r="A128" s="2" t="s">
        <v>99</v>
      </c>
      <c r="B128" s="52">
        <v>4</v>
      </c>
      <c r="C128" s="33">
        <v>50.33577948216579</v>
      </c>
      <c r="D128" s="33">
        <v>52.337155500450585</v>
      </c>
      <c r="E128" s="33">
        <v>54.394728799902168</v>
      </c>
      <c r="F128" s="33">
        <v>56.509555695611802</v>
      </c>
      <c r="G128" s="33">
        <v>58.682702403037716</v>
      </c>
      <c r="H128" s="42"/>
      <c r="I128" s="42"/>
    </row>
    <row r="129" spans="1:9">
      <c r="A129" s="2" t="s">
        <v>100</v>
      </c>
      <c r="B129" s="52">
        <v>5</v>
      </c>
      <c r="C129" s="33">
        <v>44.658162640194405</v>
      </c>
      <c r="D129" s="33">
        <v>46.457624419497989</v>
      </c>
      <c r="E129" s="33">
        <v>48.307738740593912</v>
      </c>
      <c r="F129" s="33">
        <v>50.209458650657346</v>
      </c>
      <c r="G129" s="33">
        <v>52.163746134236852</v>
      </c>
      <c r="H129" s="42"/>
      <c r="I129" s="42"/>
    </row>
    <row r="131" spans="1:9" ht="16" thickBot="1"/>
    <row r="132" spans="1:9" ht="16" thickBot="1">
      <c r="B132" s="117" t="s">
        <v>114</v>
      </c>
      <c r="C132" s="118"/>
      <c r="D132" s="118"/>
      <c r="E132" s="118"/>
      <c r="F132" s="118"/>
      <c r="G132" s="118"/>
      <c r="H132" s="119"/>
    </row>
    <row r="133" spans="1:9" ht="16" thickBot="1"/>
    <row r="134" spans="1:9">
      <c r="B134" s="42"/>
      <c r="C134" s="135" t="s">
        <v>108</v>
      </c>
      <c r="D134" s="136"/>
      <c r="E134" s="136"/>
      <c r="F134" s="136"/>
      <c r="G134" s="137"/>
    </row>
    <row r="135" spans="1:9">
      <c r="B135" s="28">
        <v>60.48</v>
      </c>
      <c r="C135" s="58">
        <v>0.04</v>
      </c>
      <c r="D135" s="58">
        <v>0.05</v>
      </c>
      <c r="E135" s="59">
        <v>0.06</v>
      </c>
      <c r="F135" s="58">
        <v>7.0000000000000007E-2</v>
      </c>
      <c r="G135" s="58">
        <v>0.08</v>
      </c>
    </row>
    <row r="136" spans="1:9">
      <c r="A136" s="2" t="s">
        <v>96</v>
      </c>
      <c r="B136" s="52">
        <v>1</v>
      </c>
      <c r="C136" s="33">
        <v>67.36863000807999</v>
      </c>
      <c r="D136" s="33">
        <v>69.975748743308401</v>
      </c>
      <c r="E136" s="33">
        <v>72.655698977826944</v>
      </c>
      <c r="F136" s="33">
        <v>75.409846830475246</v>
      </c>
      <c r="G136" s="33">
        <v>78.239571209440257</v>
      </c>
    </row>
    <row r="137" spans="1:9">
      <c r="A137" s="2" t="s">
        <v>97</v>
      </c>
      <c r="B137" s="52">
        <v>2</v>
      </c>
      <c r="C137" s="33">
        <v>61.691013166108633</v>
      </c>
      <c r="D137" s="33">
        <v>64.09621766235577</v>
      </c>
      <c r="E137" s="33">
        <v>66.568708918518695</v>
      </c>
      <c r="F137" s="33">
        <v>69.109749785520748</v>
      </c>
      <c r="G137" s="33">
        <v>71.720614940639393</v>
      </c>
    </row>
    <row r="138" spans="1:9">
      <c r="A138" s="57" t="s">
        <v>98</v>
      </c>
      <c r="B138" s="52">
        <v>3</v>
      </c>
      <c r="C138" s="33">
        <v>56.013396324137204</v>
      </c>
      <c r="D138" s="33">
        <v>58.216686581403209</v>
      </c>
      <c r="E138" s="46">
        <v>60.481718859210403</v>
      </c>
      <c r="F138" s="56">
        <v>62.809652740566285</v>
      </c>
      <c r="G138" s="33">
        <v>65.201658671838558</v>
      </c>
    </row>
    <row r="139" spans="1:9">
      <c r="A139" s="2" t="s">
        <v>99</v>
      </c>
      <c r="B139" s="52">
        <v>4</v>
      </c>
      <c r="C139" s="33">
        <v>50.335779482165769</v>
      </c>
      <c r="D139" s="33">
        <v>52.337155500450564</v>
      </c>
      <c r="E139" s="33">
        <v>54.39472879990219</v>
      </c>
      <c r="F139" s="33">
        <v>56.509555695611851</v>
      </c>
      <c r="G139" s="33">
        <v>58.682702403037744</v>
      </c>
    </row>
    <row r="140" spans="1:9">
      <c r="A140" s="2" t="s">
        <v>100</v>
      </c>
      <c r="B140" s="52">
        <v>5</v>
      </c>
      <c r="C140" s="33">
        <v>44.658162640194405</v>
      </c>
      <c r="D140" s="33">
        <v>46.457624419498003</v>
      </c>
      <c r="E140" s="33">
        <v>48.307738740593933</v>
      </c>
      <c r="F140" s="33">
        <v>50.209458650657368</v>
      </c>
      <c r="G140" s="33">
        <v>52.163746134236852</v>
      </c>
    </row>
    <row r="142" spans="1:9" ht="16" thickBot="1"/>
    <row r="143" spans="1:9" ht="16" thickBot="1">
      <c r="B143" s="117" t="s">
        <v>115</v>
      </c>
      <c r="C143" s="118"/>
      <c r="D143" s="118"/>
      <c r="E143" s="118"/>
      <c r="F143" s="118"/>
      <c r="G143" s="118"/>
      <c r="H143" s="119"/>
    </row>
    <row r="144" spans="1:9" ht="16" thickBot="1"/>
    <row r="145" spans="1:9">
      <c r="C145" s="135" t="s">
        <v>116</v>
      </c>
      <c r="D145" s="136"/>
      <c r="E145" s="136"/>
      <c r="F145" s="136"/>
      <c r="G145" s="137"/>
    </row>
    <row r="146" spans="1:9">
      <c r="B146" s="42"/>
      <c r="C146" s="8" t="s">
        <v>117</v>
      </c>
      <c r="D146" s="8" t="s">
        <v>118</v>
      </c>
      <c r="E146" s="60" t="s">
        <v>119</v>
      </c>
      <c r="F146" s="8" t="s">
        <v>120</v>
      </c>
      <c r="G146" s="8" t="s">
        <v>121</v>
      </c>
    </row>
    <row r="147" spans="1:9">
      <c r="B147" s="28">
        <v>60.48</v>
      </c>
      <c r="C147" s="61">
        <v>1</v>
      </c>
      <c r="D147" s="61">
        <v>2</v>
      </c>
      <c r="E147" s="62">
        <v>3</v>
      </c>
      <c r="F147" s="61">
        <v>4</v>
      </c>
      <c r="G147" s="61">
        <v>5</v>
      </c>
      <c r="H147" s="63"/>
      <c r="I147" s="63"/>
    </row>
    <row r="148" spans="1:9">
      <c r="A148" s="2" t="s">
        <v>96</v>
      </c>
      <c r="B148" s="64">
        <v>1</v>
      </c>
      <c r="C148" s="33">
        <v>84.829679096443428</v>
      </c>
      <c r="D148" s="33">
        <v>78.742689037135193</v>
      </c>
      <c r="E148" s="33">
        <v>72.655698977826901</v>
      </c>
      <c r="F148" s="33">
        <v>66.568708918518652</v>
      </c>
      <c r="G148" s="33">
        <v>60.481718859210432</v>
      </c>
      <c r="H148" s="63"/>
      <c r="I148" s="63"/>
    </row>
    <row r="149" spans="1:9">
      <c r="A149" s="2" t="s">
        <v>97</v>
      </c>
      <c r="B149" s="64">
        <v>2</v>
      </c>
      <c r="C149" s="33">
        <v>78.742689037135165</v>
      </c>
      <c r="D149" s="33">
        <v>72.655698977826944</v>
      </c>
      <c r="E149" s="33">
        <v>66.568708918518652</v>
      </c>
      <c r="F149" s="33">
        <v>60.481718859210403</v>
      </c>
      <c r="G149" s="33">
        <v>54.39472879990219</v>
      </c>
      <c r="H149" s="63"/>
      <c r="I149" s="63"/>
    </row>
    <row r="150" spans="1:9">
      <c r="A150" s="57" t="s">
        <v>98</v>
      </c>
      <c r="B150" s="52">
        <v>3</v>
      </c>
      <c r="C150" s="33">
        <v>72.655698977826944</v>
      </c>
      <c r="D150" s="33">
        <v>66.568708918518695</v>
      </c>
      <c r="E150" s="46">
        <v>60.481718859210403</v>
      </c>
      <c r="F150" s="56">
        <v>54.39472879990219</v>
      </c>
      <c r="G150" s="33">
        <v>48.307738740593933</v>
      </c>
      <c r="H150" s="63"/>
      <c r="I150" s="63"/>
    </row>
    <row r="151" spans="1:9">
      <c r="A151" s="2" t="s">
        <v>99</v>
      </c>
      <c r="B151" s="52">
        <v>4</v>
      </c>
      <c r="C151" s="33">
        <v>66.568708918518695</v>
      </c>
      <c r="D151" s="33">
        <v>60.481718859210453</v>
      </c>
      <c r="E151" s="33">
        <v>54.394728799902168</v>
      </c>
      <c r="F151" s="33">
        <v>48.307738740593912</v>
      </c>
      <c r="G151" s="33">
        <v>42.220748681285698</v>
      </c>
      <c r="H151" s="63"/>
      <c r="I151" s="63"/>
    </row>
    <row r="152" spans="1:9">
      <c r="A152" s="2" t="s">
        <v>100</v>
      </c>
      <c r="B152" s="52">
        <v>5</v>
      </c>
      <c r="C152" s="33">
        <v>60.481718859210453</v>
      </c>
      <c r="D152" s="33">
        <v>54.394728799902204</v>
      </c>
      <c r="E152" s="33">
        <v>48.307738740593912</v>
      </c>
      <c r="F152" s="33">
        <v>42.220748681285691</v>
      </c>
      <c r="G152" s="33">
        <v>36.133758621977442</v>
      </c>
    </row>
  </sheetData>
  <mergeCells count="27">
    <mergeCell ref="C134:G134"/>
    <mergeCell ref="B143:H143"/>
    <mergeCell ref="C145:G145"/>
    <mergeCell ref="C100:I100"/>
    <mergeCell ref="B109:H109"/>
    <mergeCell ref="C112:I112"/>
    <mergeCell ref="B121:H121"/>
    <mergeCell ref="C123:G123"/>
    <mergeCell ref="B132:H132"/>
    <mergeCell ref="B98:H98"/>
    <mergeCell ref="B49:J49"/>
    <mergeCell ref="C52:H52"/>
    <mergeCell ref="A53:A58"/>
    <mergeCell ref="B61:G61"/>
    <mergeCell ref="C63:G63"/>
    <mergeCell ref="A65:A71"/>
    <mergeCell ref="B74:H74"/>
    <mergeCell ref="C76:H76"/>
    <mergeCell ref="A78:A84"/>
    <mergeCell ref="B87:H87"/>
    <mergeCell ref="C89:I89"/>
    <mergeCell ref="A40:A46"/>
    <mergeCell ref="A9:L11"/>
    <mergeCell ref="A14:G14"/>
    <mergeCell ref="A24:G24"/>
    <mergeCell ref="B35:J35"/>
    <mergeCell ref="C38:J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tabSelected="1" workbookViewId="0">
      <selection activeCell="C13" sqref="C13"/>
    </sheetView>
  </sheetViews>
  <sheetFormatPr baseColWidth="10" defaultColWidth="8.83203125" defaultRowHeight="15"/>
  <cols>
    <col min="1" max="1" width="27.5" bestFit="1" customWidth="1"/>
    <col min="2" max="2" width="12.6640625" customWidth="1"/>
    <col min="3" max="4" width="25" customWidth="1"/>
  </cols>
  <sheetData>
    <row r="1" spans="1:4" ht="19">
      <c r="A1" s="141" t="s">
        <v>78</v>
      </c>
      <c r="B1" s="141"/>
      <c r="C1" s="7"/>
      <c r="D1" s="7"/>
    </row>
    <row r="3" spans="1:4">
      <c r="A3" s="142" t="s">
        <v>79</v>
      </c>
      <c r="B3" s="142"/>
    </row>
    <row r="4" spans="1:4">
      <c r="A4" s="2" t="s">
        <v>80</v>
      </c>
      <c r="B4" s="6">
        <f>FCF!V22+FCF!V20</f>
        <v>54.466197758022176</v>
      </c>
    </row>
    <row r="5" spans="1:4">
      <c r="A5" s="2" t="s">
        <v>81</v>
      </c>
      <c r="B5" s="6">
        <f>FCF!V22</f>
        <v>35.313704587553971</v>
      </c>
    </row>
    <row r="6" spans="1:4">
      <c r="A6" s="2" t="s">
        <v>82</v>
      </c>
      <c r="B6" s="6">
        <f>FCF!V24</f>
        <v>60.468672238962284</v>
      </c>
    </row>
    <row r="8" spans="1:4">
      <c r="A8" s="142" t="s">
        <v>83</v>
      </c>
      <c r="B8" s="142"/>
    </row>
    <row r="9" spans="1:4">
      <c r="A9" s="2" t="s">
        <v>84</v>
      </c>
      <c r="B9" s="2">
        <v>13.5</v>
      </c>
    </row>
    <row r="10" spans="1:4">
      <c r="A10" s="2" t="s">
        <v>85</v>
      </c>
      <c r="B10" s="6">
        <f>FCF!I11</f>
        <v>2.5259999999999967</v>
      </c>
    </row>
    <row r="11" spans="1:4">
      <c r="A11" s="2" t="s">
        <v>80</v>
      </c>
      <c r="B11" s="2">
        <f>B10*B9</f>
        <v>34.100999999999956</v>
      </c>
    </row>
    <row r="12" spans="1:4">
      <c r="A12" s="2" t="s">
        <v>81</v>
      </c>
      <c r="B12" s="6">
        <f>B11-FCF!V20</f>
        <v>14.948506829531752</v>
      </c>
    </row>
    <row r="13" spans="1:4">
      <c r="A13" s="2" t="s">
        <v>86</v>
      </c>
      <c r="B13" s="6">
        <f>B11/Assumptions!B59*1000000</f>
        <v>58.392123287671161</v>
      </c>
      <c r="C13" s="101"/>
    </row>
    <row r="15" spans="1:4">
      <c r="A15" s="142" t="s">
        <v>87</v>
      </c>
      <c r="B15" s="142"/>
    </row>
    <row r="16" spans="1:4">
      <c r="A16" s="2" t="s">
        <v>88</v>
      </c>
      <c r="B16" s="6">
        <f>MIN(Sensitivity!C65:G71)</f>
        <v>45.758751827050119</v>
      </c>
    </row>
    <row r="17" spans="1:3">
      <c r="A17" s="2" t="s">
        <v>89</v>
      </c>
      <c r="B17" s="100">
        <f>MAX(Sensitivity!C65:G71)</f>
        <v>82.12721903714808</v>
      </c>
    </row>
    <row r="18" spans="1:3">
      <c r="A18" s="2" t="s">
        <v>90</v>
      </c>
      <c r="B18" s="100">
        <f>AVERAGE(Sensitivity!C65:G71)</f>
        <v>61.10432614586265</v>
      </c>
      <c r="C18" s="101"/>
    </row>
    <row r="20" spans="1:3">
      <c r="A20" s="142" t="s">
        <v>91</v>
      </c>
      <c r="B20" s="142"/>
    </row>
    <row r="21" spans="1:3">
      <c r="A21" s="2" t="s">
        <v>92</v>
      </c>
      <c r="B21" s="102">
        <f>B18</f>
        <v>61.10432614586265</v>
      </c>
    </row>
  </sheetData>
  <mergeCells count="5">
    <mergeCell ref="A1:B1"/>
    <mergeCell ref="A3:B3"/>
    <mergeCell ref="A8:B8"/>
    <mergeCell ref="A15:B15"/>
    <mergeCell ref="A20:B20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9df0a0-3297-4d5d-92cc-2978602a534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91C9681C6DD24381714EE411430B17" ma:contentTypeVersion="9" ma:contentTypeDescription="Create a new document." ma:contentTypeScope="" ma:versionID="57020ea8ec0d1ea3a9991779b0ce1be0">
  <xsd:schema xmlns:xsd="http://www.w3.org/2001/XMLSchema" xmlns:xs="http://www.w3.org/2001/XMLSchema" xmlns:p="http://schemas.microsoft.com/office/2006/metadata/properties" xmlns:ns3="799df0a0-3297-4d5d-92cc-2978602a5349" xmlns:ns4="5444d885-5b8f-4bf2-b0dc-67686adc172e" targetNamespace="http://schemas.microsoft.com/office/2006/metadata/properties" ma:root="true" ma:fieldsID="5c8044a5933a877659f4e64d4fc0f9af" ns3:_="" ns4:_="">
    <xsd:import namespace="799df0a0-3297-4d5d-92cc-2978602a5349"/>
    <xsd:import namespace="5444d885-5b8f-4bf2-b0dc-67686adc172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df0a0-3297-4d5d-92cc-2978602a53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44d885-5b8f-4bf2-b0dc-67686adc172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6027B6-6BE5-401D-A287-57BF40D092BE}">
  <ds:schemaRefs>
    <ds:schemaRef ds:uri="http://purl.org/dc/dcmitype/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5444d885-5b8f-4bf2-b0dc-67686adc172e"/>
    <ds:schemaRef ds:uri="799df0a0-3297-4d5d-92cc-2978602a534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3D440FA-385F-4619-941C-DD062F5584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3D7DB3-CCDB-4DA7-9297-F5AFF0DDFA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9df0a0-3297-4d5d-92cc-2978602a5349"/>
    <ds:schemaRef ds:uri="5444d885-5b8f-4bf2-b0dc-67686adc17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FCF</vt:lpstr>
      <vt:lpstr>Sensitivity</vt:lpstr>
      <vt:lpstr>Price Recommendation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Kolath, Jay</cp:lastModifiedBy>
  <cp:revision/>
  <dcterms:created xsi:type="dcterms:W3CDTF">2025-05-26T05:53:08Z</dcterms:created>
  <dcterms:modified xsi:type="dcterms:W3CDTF">2025-11-18T05:59:13Z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0x0101001A91C9681C6DD24381714EE411430B17</vt:lpwstr>
  </property>
</Properties>
</file>